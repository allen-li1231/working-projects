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rustsaving\Python\offline_weekly_report\"/>
    </mc:Choice>
  </mc:AlternateContent>
  <xr:revisionPtr revIDLastSave="0" documentId="12_ncr:500000_{7665DAE8-1589-41CF-A408-4ACF4D0C1CB7}" xr6:coauthVersionLast="31" xr6:coauthVersionMax="31" xr10:uidLastSave="{00000000-0000-0000-0000-000000000000}"/>
  <bookViews>
    <workbookView xWindow="0" yWindow="0" windowWidth="20496" windowHeight="7776" xr2:uid="{00000000-000D-0000-FFFF-FFFF00000000}"/>
  </bookViews>
  <sheets>
    <sheet name="上午日报" sheetId="9" r:id="rId1"/>
    <sheet name="日报数据1" sheetId="17" r:id="rId2"/>
    <sheet name="日报数据2" sheetId="16" r:id="rId3"/>
    <sheet name="日报明细" sheetId="14" r:id="rId4"/>
  </sheets>
  <definedNames>
    <definedName name="_xlnm._FilterDatabase" localSheetId="3" hidden="1">日报明细!$A$1:$V$1306</definedName>
  </definedNames>
  <calcPr calcId="162913"/>
</workbook>
</file>

<file path=xl/calcChain.xml><?xml version="1.0" encoding="utf-8"?>
<calcChain xmlns="http://schemas.openxmlformats.org/spreadsheetml/2006/main">
  <c r="F10" i="17" l="1"/>
  <c r="D10" i="17"/>
  <c r="C10" i="17"/>
  <c r="F9" i="17"/>
  <c r="D9" i="17"/>
  <c r="C9" i="17"/>
  <c r="F8" i="17"/>
  <c r="D8" i="17"/>
  <c r="C8" i="17"/>
  <c r="F7" i="17"/>
  <c r="D7" i="17"/>
  <c r="C7" i="17"/>
  <c r="F6" i="17"/>
  <c r="D6" i="17"/>
  <c r="C6" i="17"/>
  <c r="F5" i="17"/>
  <c r="D5" i="17"/>
  <c r="C5" i="17"/>
  <c r="F3" i="17"/>
  <c r="F4" i="17" s="1"/>
  <c r="D3" i="17"/>
  <c r="C3" i="17"/>
  <c r="C4" i="17" s="1"/>
  <c r="G16" i="9"/>
  <c r="G15" i="9"/>
  <c r="G14" i="9"/>
  <c r="G13" i="9"/>
  <c r="G12" i="9"/>
  <c r="G11" i="9"/>
  <c r="E16" i="9"/>
  <c r="E15" i="9"/>
  <c r="E14" i="9"/>
  <c r="E13" i="9"/>
  <c r="E12" i="9"/>
  <c r="E11" i="9"/>
  <c r="C12" i="9"/>
  <c r="C13" i="9"/>
  <c r="C14" i="9"/>
  <c r="C15" i="9"/>
  <c r="C16" i="9"/>
  <c r="C11" i="9"/>
  <c r="G9" i="9"/>
  <c r="E9" i="9"/>
  <c r="C9" i="9"/>
  <c r="C11" i="17" l="1"/>
  <c r="E8" i="17"/>
  <c r="E3" i="17"/>
  <c r="E4" i="17" s="1"/>
  <c r="F11" i="17"/>
  <c r="E7" i="17"/>
  <c r="E10" i="17"/>
  <c r="C12" i="17"/>
  <c r="E9" i="17"/>
  <c r="D4" i="17"/>
  <c r="E6" i="17"/>
  <c r="D11" i="17"/>
  <c r="D12" i="17" s="1"/>
  <c r="F12" i="17"/>
  <c r="E5" i="17"/>
  <c r="N17" i="9"/>
  <c r="O17" i="9"/>
  <c r="E11" i="17" l="1"/>
  <c r="E12" i="17" s="1"/>
  <c r="F4" i="16"/>
  <c r="F5" i="16"/>
  <c r="F6" i="16"/>
  <c r="F7" i="16"/>
  <c r="F8" i="16"/>
  <c r="F9" i="16"/>
  <c r="F10" i="16"/>
  <c r="F11" i="16"/>
  <c r="F3" i="16"/>
  <c r="J5" i="9" l="1"/>
  <c r="R13" i="9" l="1"/>
  <c r="L16" i="9"/>
  <c r="L12" i="9"/>
  <c r="K15" i="9"/>
  <c r="C9" i="16" s="1"/>
  <c r="K11" i="9"/>
  <c r="R16" i="9"/>
  <c r="H10" i="16" s="1"/>
  <c r="R12" i="9"/>
  <c r="L15" i="9"/>
  <c r="L11" i="9"/>
  <c r="K14" i="9"/>
  <c r="C8" i="16" s="1"/>
  <c r="K9" i="9"/>
  <c r="C3" i="16" s="1"/>
  <c r="R15" i="9"/>
  <c r="R11" i="9"/>
  <c r="L14" i="9"/>
  <c r="L9" i="9"/>
  <c r="K13" i="9"/>
  <c r="C7" i="16" s="1"/>
  <c r="R14" i="9"/>
  <c r="R9" i="9"/>
  <c r="H3" i="16" s="1"/>
  <c r="L13" i="9"/>
  <c r="D7" i="16" s="1"/>
  <c r="K16" i="9"/>
  <c r="K12" i="9"/>
  <c r="C6" i="16" s="1"/>
  <c r="D6" i="16"/>
  <c r="D8" i="16"/>
  <c r="D10" i="16"/>
  <c r="C5" i="16"/>
  <c r="D5" i="16"/>
  <c r="H7" i="16"/>
  <c r="H8" i="16"/>
  <c r="D9" i="16"/>
  <c r="H9" i="16"/>
  <c r="C10" i="16"/>
  <c r="H6" i="16"/>
  <c r="L17" i="9" l="1"/>
  <c r="K17" i="9"/>
  <c r="H5" i="16"/>
  <c r="R17" i="9"/>
  <c r="F12" i="16"/>
  <c r="D3" i="16"/>
  <c r="R10" i="9" l="1"/>
  <c r="H4" i="16" s="1"/>
  <c r="L10" i="9"/>
  <c r="D4" i="16" s="1"/>
  <c r="K10" i="9"/>
  <c r="C4" i="16" s="1"/>
  <c r="O10" i="9"/>
  <c r="N10" i="9"/>
  <c r="D14" i="9"/>
  <c r="D16" i="9"/>
  <c r="D15" i="9"/>
  <c r="D13" i="9"/>
  <c r="D12" i="9"/>
  <c r="D11" i="9"/>
  <c r="G10" i="9"/>
  <c r="D9" i="9"/>
  <c r="E17" i="9" l="1"/>
  <c r="C17" i="9"/>
  <c r="D17" i="9"/>
  <c r="G17" i="9"/>
  <c r="C10" i="9"/>
  <c r="E10" i="9"/>
  <c r="D10" i="9"/>
  <c r="M14" i="9"/>
  <c r="E8" i="16" s="1"/>
  <c r="F13" i="9"/>
  <c r="M16" i="9"/>
  <c r="E10" i="16" s="1"/>
  <c r="F16" i="9"/>
  <c r="F12" i="9"/>
  <c r="M13" i="9"/>
  <c r="E7" i="16" s="1"/>
  <c r="M12" i="9"/>
  <c r="E6" i="16" s="1"/>
  <c r="F9" i="9"/>
  <c r="F10" i="9" s="1"/>
  <c r="F11" i="9"/>
  <c r="F14" i="9"/>
  <c r="M9" i="9"/>
  <c r="E3" i="16" s="1"/>
  <c r="M11" i="9"/>
  <c r="F15" i="9"/>
  <c r="M15" i="9"/>
  <c r="E9" i="16" s="1"/>
  <c r="F17" i="9" l="1"/>
  <c r="E5" i="16"/>
  <c r="M17" i="9"/>
  <c r="Q17" i="9" s="1"/>
  <c r="C18" i="9"/>
  <c r="C11" i="16"/>
  <c r="H11" i="16"/>
  <c r="Q13" i="9"/>
  <c r="G7" i="16" s="1"/>
  <c r="Q12" i="9"/>
  <c r="G6" i="16" s="1"/>
  <c r="Q16" i="9"/>
  <c r="G10" i="16" s="1"/>
  <c r="Q14" i="9"/>
  <c r="G8" i="16" s="1"/>
  <c r="D11" i="16"/>
  <c r="M10" i="9"/>
  <c r="E4" i="16" s="1"/>
  <c r="Q9" i="9"/>
  <c r="G3" i="16" s="1"/>
  <c r="Q15" i="9"/>
  <c r="G9" i="16" s="1"/>
  <c r="Q11" i="9"/>
  <c r="G5" i="16" l="1"/>
  <c r="D18" i="9"/>
  <c r="E18" i="9"/>
  <c r="R18" i="9"/>
  <c r="H12" i="16" s="1"/>
  <c r="G18" i="9"/>
  <c r="Q10" i="9"/>
  <c r="G4" i="16" s="1"/>
  <c r="L18" i="9"/>
  <c r="D12" i="16" s="1"/>
  <c r="K18" i="9"/>
  <c r="C12" i="16" s="1"/>
  <c r="F18" i="9"/>
  <c r="E11" i="16"/>
  <c r="G11" i="16" l="1"/>
  <c r="M18" i="9"/>
  <c r="E12" i="16" s="1"/>
  <c r="Q18" i="9" l="1"/>
  <c r="G12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连接" type="4" refreshedVersion="2" background="1" saveData="1">
    <webPr sourceData="1" parsePre="1" consecutive="1" xl2000="1" url="http://zhidao.baidu.com/question/1797822747959144627.html?entry=qb_ihome_tag"/>
  </connection>
</connections>
</file>

<file path=xl/sharedStrings.xml><?xml version="1.0" encoding="utf-8"?>
<sst xmlns="http://schemas.openxmlformats.org/spreadsheetml/2006/main" count="15661" uniqueCount="2907">
  <si>
    <t>电话号码</t>
    <phoneticPr fontId="12" type="noConversion"/>
  </si>
  <si>
    <t>客户姓名</t>
    <phoneticPr fontId="12" type="noConversion"/>
  </si>
  <si>
    <t>绩效</t>
    <phoneticPr fontId="12" type="noConversion"/>
  </si>
  <si>
    <t>单位：万</t>
    <phoneticPr fontId="13" type="noConversion"/>
  </si>
  <si>
    <t>嘉宾客户</t>
    <phoneticPr fontId="13" type="noConversion"/>
  </si>
  <si>
    <t>新投资</t>
    <phoneticPr fontId="13" type="noConversion"/>
  </si>
  <si>
    <t>续投资</t>
    <phoneticPr fontId="13" type="noConversion"/>
  </si>
  <si>
    <t>再投资</t>
    <phoneticPr fontId="13" type="noConversion"/>
  </si>
  <si>
    <t>绩效</t>
    <phoneticPr fontId="13" type="noConversion"/>
  </si>
  <si>
    <t>实际到账</t>
    <phoneticPr fontId="13" type="noConversion"/>
  </si>
  <si>
    <t>绩效业绩</t>
    <phoneticPr fontId="13" type="noConversion"/>
  </si>
  <si>
    <t>舒总VIP</t>
    <phoneticPr fontId="13" type="noConversion"/>
  </si>
  <si>
    <t>蒋总VIP</t>
    <phoneticPr fontId="13" type="noConversion"/>
  </si>
  <si>
    <t>营业部</t>
    <phoneticPr fontId="13" type="noConversion"/>
  </si>
  <si>
    <t>营业部经理</t>
    <phoneticPr fontId="13" type="noConversion"/>
  </si>
  <si>
    <t>到账业绩</t>
    <phoneticPr fontId="13" type="noConversion"/>
  </si>
  <si>
    <t>赎回</t>
    <phoneticPr fontId="13" type="noConversion"/>
  </si>
  <si>
    <t>净业绩</t>
    <phoneticPr fontId="13" type="noConversion"/>
  </si>
  <si>
    <t>绩效指标</t>
    <phoneticPr fontId="13" type="noConversion"/>
  </si>
  <si>
    <t>达成率</t>
    <phoneticPr fontId="13" type="noConversion"/>
  </si>
  <si>
    <t>总计</t>
    <phoneticPr fontId="13" type="noConversion"/>
  </si>
  <si>
    <t>世界广场</t>
    <phoneticPr fontId="13" type="noConversion"/>
  </si>
  <si>
    <t>宋永新</t>
    <phoneticPr fontId="13" type="noConversion"/>
  </si>
  <si>
    <t>上海</t>
    <phoneticPr fontId="13" type="noConversion"/>
  </si>
  <si>
    <t>南京新百</t>
    <phoneticPr fontId="13" type="noConversion"/>
  </si>
  <si>
    <t>卞小军</t>
    <phoneticPr fontId="13" type="noConversion"/>
  </si>
  <si>
    <t>南京大厂</t>
    <phoneticPr fontId="13" type="noConversion"/>
  </si>
  <si>
    <t>王玉华</t>
    <phoneticPr fontId="13" type="noConversion"/>
  </si>
  <si>
    <t>南京溧水</t>
    <phoneticPr fontId="13" type="noConversion"/>
  </si>
  <si>
    <t>溧水</t>
    <phoneticPr fontId="13" type="noConversion"/>
  </si>
  <si>
    <t>泰山一部</t>
    <phoneticPr fontId="13" type="noConversion"/>
  </si>
  <si>
    <t>泰山二部</t>
    <phoneticPr fontId="13" type="noConversion"/>
  </si>
  <si>
    <t>汪超</t>
    <phoneticPr fontId="13" type="noConversion"/>
  </si>
  <si>
    <t>南京六合</t>
    <phoneticPr fontId="13" type="noConversion"/>
  </si>
  <si>
    <t>赵和云</t>
    <phoneticPr fontId="13" type="noConversion"/>
  </si>
  <si>
    <t>江苏</t>
    <phoneticPr fontId="13" type="noConversion"/>
  </si>
  <si>
    <t>全国总计</t>
    <phoneticPr fontId="13" type="noConversion"/>
  </si>
  <si>
    <t>客户编号</t>
    <phoneticPr fontId="12" type="noConversion"/>
  </si>
  <si>
    <t>投资状态</t>
    <phoneticPr fontId="12" type="noConversion"/>
  </si>
  <si>
    <t>合同编号</t>
    <phoneticPr fontId="12" type="noConversion"/>
  </si>
  <si>
    <t>证件号码</t>
    <phoneticPr fontId="12" type="noConversion"/>
  </si>
  <si>
    <t>出借金额</t>
    <phoneticPr fontId="12" type="noConversion"/>
  </si>
  <si>
    <t>出借模式</t>
    <phoneticPr fontId="12" type="noConversion"/>
  </si>
  <si>
    <t>第1层</t>
    <phoneticPr fontId="12" type="noConversion"/>
  </si>
  <si>
    <t>第2层</t>
    <phoneticPr fontId="12" type="noConversion"/>
  </si>
  <si>
    <t>第3层</t>
    <phoneticPr fontId="12" type="noConversion"/>
  </si>
  <si>
    <t>第4层</t>
    <phoneticPr fontId="12" type="noConversion"/>
  </si>
  <si>
    <t>城市</t>
    <phoneticPr fontId="12" type="noConversion"/>
  </si>
  <si>
    <t>组织名称</t>
    <phoneticPr fontId="12" type="noConversion"/>
  </si>
  <si>
    <t>原定出借日</t>
    <phoneticPr fontId="12" type="noConversion"/>
  </si>
  <si>
    <t>合同状态</t>
    <phoneticPr fontId="12" type="noConversion"/>
  </si>
  <si>
    <t>产品</t>
    <phoneticPr fontId="12" type="noConversion"/>
  </si>
  <si>
    <t>汤银秋</t>
  </si>
  <si>
    <t>南京溧水</t>
  </si>
  <si>
    <t>本月：</t>
  </si>
  <si>
    <t>日期范围:</t>
  </si>
  <si>
    <t>再投资</t>
  </si>
  <si>
    <t>320122197512142441</t>
  </si>
  <si>
    <t>滕宏兰</t>
  </si>
  <si>
    <t>储·盈计划-3个月（180221期）</t>
  </si>
  <si>
    <t>李敏怡</t>
  </si>
  <si>
    <t>吴熙博</t>
  </si>
  <si>
    <t>汪超</t>
  </si>
  <si>
    <t>杜孝斌</t>
  </si>
  <si>
    <t>南京市</t>
  </si>
  <si>
    <t>南京泰山二部</t>
  </si>
  <si>
    <t>新投资</t>
  </si>
  <si>
    <t>320123197201200233</t>
  </si>
  <si>
    <t>杨拥军</t>
  </si>
  <si>
    <t>胡艳</t>
  </si>
  <si>
    <t>魏乃如</t>
  </si>
  <si>
    <t>赵和云</t>
  </si>
  <si>
    <t>孟令成</t>
  </si>
  <si>
    <t>南京六合</t>
  </si>
  <si>
    <t>360102195304146328</t>
  </si>
  <si>
    <t>任丽</t>
  </si>
  <si>
    <t>闻晓莉</t>
  </si>
  <si>
    <t>张文娟</t>
  </si>
  <si>
    <t>宋永新</t>
  </si>
  <si>
    <t>上海城市经理</t>
  </si>
  <si>
    <t>上海市</t>
  </si>
  <si>
    <t>世界广场</t>
  </si>
  <si>
    <t>320123199401101423</t>
  </si>
  <si>
    <t>罗冬梅</t>
  </si>
  <si>
    <t>雷金标</t>
  </si>
  <si>
    <t>谢桂香</t>
  </si>
  <si>
    <t>320123198805150024</t>
  </si>
  <si>
    <t>田甜</t>
  </si>
  <si>
    <t>储·盈计划-12个月（年月利0220期）</t>
  </si>
  <si>
    <t>叶彩霞</t>
  </si>
  <si>
    <t>320105195907301042</t>
  </si>
  <si>
    <t>刘燕萍</t>
  </si>
  <si>
    <t>张德</t>
  </si>
  <si>
    <t>汪亮</t>
  </si>
  <si>
    <t>卞小军</t>
  </si>
  <si>
    <t>南京新百</t>
  </si>
  <si>
    <t>413023197206212726</t>
  </si>
  <si>
    <t>尹晓燕</t>
  </si>
  <si>
    <t>储·盈计划-12个月（180224期）</t>
  </si>
  <si>
    <t>321123197110045830</t>
  </si>
  <si>
    <t>赵明</t>
  </si>
  <si>
    <t>刘珊珊</t>
  </si>
  <si>
    <t>贾明祥</t>
  </si>
  <si>
    <t>320104197009130846</t>
  </si>
  <si>
    <t>赵爱萍</t>
  </si>
  <si>
    <t>王艳3</t>
  </si>
  <si>
    <t>320123196402221415</t>
  </si>
  <si>
    <t>周加海</t>
  </si>
  <si>
    <t>储·盈计划-12个月（180225期）</t>
  </si>
  <si>
    <t>魏娜</t>
  </si>
  <si>
    <t>宣恒</t>
  </si>
  <si>
    <t>南京泰山一部</t>
  </si>
  <si>
    <t>320123195105210432</t>
  </si>
  <si>
    <t>吴琦</t>
  </si>
  <si>
    <t>陆文华</t>
  </si>
  <si>
    <t>320124197204163227</t>
  </si>
  <si>
    <t>王士美</t>
  </si>
  <si>
    <t>甘来娣</t>
  </si>
  <si>
    <t>溧水</t>
  </si>
  <si>
    <t>320113197906283224</t>
  </si>
  <si>
    <t>李虹</t>
  </si>
  <si>
    <t>金奋</t>
  </si>
  <si>
    <t>320124196911191636</t>
  </si>
  <si>
    <t>牛红生</t>
  </si>
  <si>
    <t>牛小明</t>
  </si>
  <si>
    <t>130681198308230424</t>
  </si>
  <si>
    <t>刘婷婷</t>
  </si>
  <si>
    <t>季学明</t>
  </si>
  <si>
    <t>320113197109052052</t>
  </si>
  <si>
    <t>平静峰</t>
  </si>
  <si>
    <t>郑洁</t>
  </si>
  <si>
    <t>王远明</t>
  </si>
  <si>
    <t>王玉华</t>
  </si>
  <si>
    <t>南京大厂</t>
  </si>
  <si>
    <t>320123197401063851</t>
  </si>
  <si>
    <t>卞立栋</t>
  </si>
  <si>
    <t>王钧</t>
  </si>
  <si>
    <t>320111197501054818</t>
  </si>
  <si>
    <t>殷文兵</t>
  </si>
  <si>
    <t>谭相梅</t>
  </si>
  <si>
    <t>320122196911191246</t>
  </si>
  <si>
    <t>高久华</t>
  </si>
  <si>
    <t>320402198309142513</t>
  </si>
  <si>
    <t>张杰</t>
  </si>
  <si>
    <t>刘世娟</t>
  </si>
  <si>
    <t>320123199201051417</t>
  </si>
  <si>
    <t>娄雨洋</t>
  </si>
  <si>
    <t>娄长彪</t>
  </si>
  <si>
    <t>320112196502170820</t>
  </si>
  <si>
    <t>郑梅香</t>
  </si>
  <si>
    <t>彭家玲</t>
  </si>
  <si>
    <t>320123195812050036</t>
  </si>
  <si>
    <t>李洪宝</t>
  </si>
  <si>
    <t>320123196610264612</t>
  </si>
  <si>
    <t>王连生</t>
  </si>
  <si>
    <t>朱伏娟</t>
  </si>
  <si>
    <t>320123198608261614</t>
  </si>
  <si>
    <t>成成</t>
  </si>
  <si>
    <t>储·盈计划-6个月（180221期）</t>
  </si>
  <si>
    <t>420222196903163826</t>
  </si>
  <si>
    <t>明雪桂</t>
  </si>
  <si>
    <t>姜国庆</t>
  </si>
  <si>
    <t>320122196612050435</t>
  </si>
  <si>
    <t>方加兵</t>
  </si>
  <si>
    <t>丁华翠</t>
  </si>
  <si>
    <t>32012419691203005X</t>
  </si>
  <si>
    <t>汤卫平</t>
  </si>
  <si>
    <t>陈顺利</t>
  </si>
  <si>
    <t>320112196802171227</t>
  </si>
  <si>
    <t>戴凤芹</t>
  </si>
  <si>
    <t>320111195810090821</t>
  </si>
  <si>
    <t>孙宁</t>
  </si>
  <si>
    <t>谢宜东</t>
  </si>
  <si>
    <t>320123197712121844</t>
  </si>
  <si>
    <t>陈红</t>
  </si>
  <si>
    <t>曹艳</t>
  </si>
  <si>
    <t>310101195606023248</t>
  </si>
  <si>
    <t>盛永珍</t>
  </si>
  <si>
    <t>盛晓音</t>
  </si>
  <si>
    <t>320121197509251915</t>
  </si>
  <si>
    <t>骆刚</t>
  </si>
  <si>
    <t>储·盈计划-24个月（180221期）</t>
  </si>
  <si>
    <t>韦芳</t>
  </si>
  <si>
    <t>32092219761215278X</t>
  </si>
  <si>
    <t>张晨</t>
  </si>
  <si>
    <t>储·盈计划-3个月（180222期）</t>
  </si>
  <si>
    <t>徐金妹</t>
  </si>
  <si>
    <t>杨依群</t>
  </si>
  <si>
    <t>310101194708051616</t>
  </si>
  <si>
    <t>陈强华</t>
  </si>
  <si>
    <t>320112197304110426</t>
  </si>
  <si>
    <t>费昳</t>
  </si>
  <si>
    <t>赵菊红</t>
  </si>
  <si>
    <t>张雪莲</t>
  </si>
  <si>
    <t>320121196512054360</t>
  </si>
  <si>
    <t>孟江云</t>
  </si>
  <si>
    <t>310102196011050424</t>
  </si>
  <si>
    <t>谢美琴</t>
  </si>
  <si>
    <t>蒋智虹</t>
  </si>
  <si>
    <t>321183198909174140</t>
  </si>
  <si>
    <t>梅秀秀</t>
  </si>
  <si>
    <t>冯金娣</t>
  </si>
  <si>
    <t>320926196508048924</t>
  </si>
  <si>
    <t>张玲芳</t>
  </si>
  <si>
    <t>320123197108103869</t>
  </si>
  <si>
    <t>王巨红</t>
  </si>
  <si>
    <t>张金海</t>
  </si>
  <si>
    <t>320123194711260013</t>
  </si>
  <si>
    <t>李昌文</t>
  </si>
  <si>
    <t>龚会如</t>
  </si>
  <si>
    <t>320112197107121230</t>
  </si>
  <si>
    <t>赵长贵</t>
  </si>
  <si>
    <t>赵红梅</t>
  </si>
  <si>
    <t>342501197611055621</t>
  </si>
  <si>
    <t>史成风</t>
  </si>
  <si>
    <t>孙希龙</t>
  </si>
  <si>
    <t>王伟</t>
  </si>
  <si>
    <t>320123199307080048</t>
  </si>
  <si>
    <t>范文婷</t>
  </si>
  <si>
    <t>刘晓燕</t>
  </si>
  <si>
    <t>320114195307282411</t>
  </si>
  <si>
    <t>耿开桂</t>
  </si>
  <si>
    <t>441522198108101749</t>
  </si>
  <si>
    <t>林雪群</t>
  </si>
  <si>
    <t>320124197010242445</t>
  </si>
  <si>
    <t>张来娣</t>
  </si>
  <si>
    <t>施能珍</t>
  </si>
  <si>
    <t>630105198912250346</t>
  </si>
  <si>
    <t>赵薇</t>
  </si>
  <si>
    <t>320123197504294820</t>
  </si>
  <si>
    <t>林海嵘</t>
  </si>
  <si>
    <t>储·盈计划-3个月（180301期）</t>
  </si>
  <si>
    <t>32011119740729361X</t>
  </si>
  <si>
    <t>徐翔</t>
  </si>
  <si>
    <t>叶国香</t>
  </si>
  <si>
    <t>320123195402100213</t>
  </si>
  <si>
    <t>闻顺华</t>
  </si>
  <si>
    <t>320483198601047028</t>
  </si>
  <si>
    <t>高娜</t>
  </si>
  <si>
    <t>李爱珍</t>
  </si>
  <si>
    <t>320114198202151822</t>
  </si>
  <si>
    <t>赵萍</t>
  </si>
  <si>
    <t>李智</t>
  </si>
  <si>
    <t>320123197308023839</t>
  </si>
  <si>
    <t>管成孝</t>
  </si>
  <si>
    <t>360103195512161748</t>
  </si>
  <si>
    <t>320102196402052066</t>
  </si>
  <si>
    <t>黄春红</t>
  </si>
  <si>
    <t>320123197309084828</t>
  </si>
  <si>
    <t>杨燕</t>
  </si>
  <si>
    <t>320122197807021225</t>
  </si>
  <si>
    <t>陈吉艳</t>
  </si>
  <si>
    <t>舒昆华</t>
  </si>
  <si>
    <t>姚奕</t>
  </si>
  <si>
    <t>320111199209233623</t>
  </si>
  <si>
    <t>李凯莉</t>
  </si>
  <si>
    <t>320124197710100042</t>
  </si>
  <si>
    <t>张书花</t>
  </si>
  <si>
    <t>152102196508143062</t>
  </si>
  <si>
    <t>崔淼</t>
  </si>
  <si>
    <t>储·盈计划-24个月（180301期）</t>
  </si>
  <si>
    <t>储·盈计划-12个月（年月利0301期）</t>
  </si>
  <si>
    <t>32011219620404122X</t>
  </si>
  <si>
    <t>王翠玲</t>
  </si>
  <si>
    <t>储·盈计划-6个月（180301期）</t>
  </si>
  <si>
    <t>320112195009110029</t>
  </si>
  <si>
    <t>范其芬</t>
  </si>
  <si>
    <t>储·盈计划-12个月（180301期）</t>
  </si>
  <si>
    <t>李文青</t>
  </si>
  <si>
    <t>于超</t>
  </si>
  <si>
    <t>410728196907172555</t>
  </si>
  <si>
    <t>张国增</t>
  </si>
  <si>
    <t>320111196705171210</t>
  </si>
  <si>
    <t>姜笃文</t>
  </si>
  <si>
    <t>汤新华</t>
  </si>
  <si>
    <t>430821197804174223</t>
  </si>
  <si>
    <t>张红</t>
  </si>
  <si>
    <t>张红2</t>
  </si>
  <si>
    <t>320123196808255025</t>
  </si>
  <si>
    <t>柏艺</t>
  </si>
  <si>
    <t>欧传红</t>
  </si>
  <si>
    <t>陈红梅</t>
  </si>
  <si>
    <t>32012319740611462X</t>
  </si>
  <si>
    <t>320112197506150821</t>
  </si>
  <si>
    <t>郑春华</t>
  </si>
  <si>
    <t>320102195511193218</t>
  </si>
  <si>
    <t>赵宁</t>
  </si>
  <si>
    <t>320102195804133219</t>
  </si>
  <si>
    <t>赵跃进</t>
  </si>
  <si>
    <t>320123196510134810</t>
  </si>
  <si>
    <t>陈道永</t>
  </si>
  <si>
    <t>窦位兰</t>
  </si>
  <si>
    <t>320123195607050221</t>
  </si>
  <si>
    <t>张绪芳</t>
  </si>
  <si>
    <t>320121197704242125</t>
  </si>
  <si>
    <t>栾世霞</t>
  </si>
  <si>
    <t>栾小翠</t>
  </si>
  <si>
    <t>320122197409300448</t>
  </si>
  <si>
    <t>陆冬萍</t>
  </si>
  <si>
    <t>储·盈计划-12个月（180302期）</t>
  </si>
  <si>
    <t>320123197311144623</t>
  </si>
  <si>
    <t>320112195601260413</t>
  </si>
  <si>
    <t>周金龙</t>
  </si>
  <si>
    <t>320123195406071413</t>
  </si>
  <si>
    <t>320123196401200073</t>
  </si>
  <si>
    <t>蔡标</t>
  </si>
  <si>
    <t>李利莉</t>
  </si>
  <si>
    <t>320107196309150464</t>
  </si>
  <si>
    <t>冯德珍</t>
  </si>
  <si>
    <t>余琴</t>
  </si>
  <si>
    <t>320124197408032827</t>
  </si>
  <si>
    <t>陈白珍</t>
  </si>
  <si>
    <t>吴义逵</t>
  </si>
  <si>
    <t>320114195607053020</t>
  </si>
  <si>
    <t>王宣翠</t>
  </si>
  <si>
    <t>320123198109053466</t>
  </si>
  <si>
    <t>郭花</t>
  </si>
  <si>
    <t>320122198606011631</t>
  </si>
  <si>
    <t>丁亮</t>
  </si>
  <si>
    <t>320111196701100829</t>
  </si>
  <si>
    <t>李红</t>
  </si>
  <si>
    <t>452127196903280022</t>
  </si>
  <si>
    <t>罗金琼</t>
  </si>
  <si>
    <t>320124195709172410</t>
  </si>
  <si>
    <t>肖定根</t>
  </si>
  <si>
    <t>320123197102240221</t>
  </si>
  <si>
    <t>马春梅</t>
  </si>
  <si>
    <t>320123195703063620</t>
  </si>
  <si>
    <t>胡美琴</t>
  </si>
  <si>
    <t>320122195006270011</t>
  </si>
  <si>
    <t>徐国平</t>
  </si>
  <si>
    <t>320112196208180411</t>
  </si>
  <si>
    <t>蒋金荣</t>
  </si>
  <si>
    <t>320112196406190426</t>
  </si>
  <si>
    <t>310110198908125194</t>
  </si>
  <si>
    <t>秦超</t>
  </si>
  <si>
    <t>320124198811251637</t>
  </si>
  <si>
    <t>胡诞</t>
  </si>
  <si>
    <t>320124199104271625</t>
  </si>
  <si>
    <t>严琴</t>
  </si>
  <si>
    <t>320123197505190820</t>
  </si>
  <si>
    <t>胡玉凤</t>
  </si>
  <si>
    <t>320112196204241627</t>
  </si>
  <si>
    <t>刘桂玲</t>
  </si>
  <si>
    <t>310102196102024897</t>
  </si>
  <si>
    <t>唐显华</t>
  </si>
  <si>
    <t>320111196701214420</t>
  </si>
  <si>
    <t>潘小红</t>
  </si>
  <si>
    <t>320123198303270616</t>
  </si>
  <si>
    <t>高传林</t>
  </si>
  <si>
    <t>储·盈计划-6个月（180302期）</t>
  </si>
  <si>
    <t>320123196811180036</t>
  </si>
  <si>
    <t>吴文荣</t>
  </si>
  <si>
    <t>汪燕</t>
  </si>
  <si>
    <t>310108197710053627</t>
  </si>
  <si>
    <t>刘敏</t>
  </si>
  <si>
    <t>沈金兄</t>
  </si>
  <si>
    <t>320124198202222419</t>
  </si>
  <si>
    <t>吕可荣</t>
  </si>
  <si>
    <t>储·盈计划-12个月（年月利0302期）</t>
  </si>
  <si>
    <t>储·盈计划-3个月（180302期）</t>
  </si>
  <si>
    <t>340504197002200640</t>
  </si>
  <si>
    <t>邓卫红</t>
  </si>
  <si>
    <t>320122195912260827</t>
  </si>
  <si>
    <t>沈力</t>
  </si>
  <si>
    <t>管世琴</t>
  </si>
  <si>
    <t>320123195905120048</t>
  </si>
  <si>
    <t>杨跃玲</t>
  </si>
  <si>
    <t>340302197205051629</t>
  </si>
  <si>
    <t>张靖</t>
  </si>
  <si>
    <t>肖洁</t>
  </si>
  <si>
    <t>320122196208072464</t>
  </si>
  <si>
    <t>滕远雯</t>
  </si>
  <si>
    <t>320123197111014066</t>
  </si>
  <si>
    <t>黄琴</t>
  </si>
  <si>
    <t>32011119781110362X</t>
  </si>
  <si>
    <t>卞雪敏</t>
  </si>
  <si>
    <t>王友飞</t>
  </si>
  <si>
    <t>32012419640206142X</t>
  </si>
  <si>
    <t>张启芳</t>
  </si>
  <si>
    <t>320112196705260025</t>
  </si>
  <si>
    <t>王涛</t>
  </si>
  <si>
    <t>320111197106234827</t>
  </si>
  <si>
    <t>310108197605163226</t>
  </si>
  <si>
    <t>蒋玲</t>
  </si>
  <si>
    <t>吴英花</t>
  </si>
  <si>
    <t>320107197211221820</t>
  </si>
  <si>
    <t>冯彬</t>
  </si>
  <si>
    <t>320112193910130410</t>
  </si>
  <si>
    <t>黄志民</t>
  </si>
  <si>
    <t>320111196412190418</t>
  </si>
  <si>
    <t>杨炯宁</t>
  </si>
  <si>
    <t>320124197009211617</t>
  </si>
  <si>
    <t>徐秋平</t>
  </si>
  <si>
    <t>320116197502020021</t>
  </si>
  <si>
    <t>沈芳</t>
  </si>
  <si>
    <t>320902198210292527</t>
  </si>
  <si>
    <t>沈娟</t>
  </si>
  <si>
    <t>310109193712122057</t>
  </si>
  <si>
    <t>黄照棠</t>
  </si>
  <si>
    <t>320111199103281221</t>
  </si>
  <si>
    <t>王影</t>
  </si>
  <si>
    <t>储·盈计划-3个月（180303期）</t>
  </si>
  <si>
    <t>岳正云</t>
  </si>
  <si>
    <t>320581198507313222</t>
  </si>
  <si>
    <t>唐琼</t>
  </si>
  <si>
    <t>320123197311263622</t>
  </si>
  <si>
    <t>黄世珍</t>
  </si>
  <si>
    <t>32012419770613002X</t>
  </si>
  <si>
    <t>经绪珍</t>
  </si>
  <si>
    <t>320123196908141033</t>
  </si>
  <si>
    <t>李金勇</t>
  </si>
  <si>
    <t>330323197006127125</t>
  </si>
  <si>
    <t>吴文娇</t>
  </si>
  <si>
    <t>320122198511012025</t>
  </si>
  <si>
    <t>李静</t>
  </si>
  <si>
    <t>易炜</t>
  </si>
  <si>
    <t>321183198609222438</t>
  </si>
  <si>
    <t>张志勇</t>
  </si>
  <si>
    <t>320113195008013215</t>
  </si>
  <si>
    <t>吉忠礼</t>
  </si>
  <si>
    <t>372925198908034111</t>
  </si>
  <si>
    <t>戚晨曦</t>
  </si>
  <si>
    <t>储·盈计划-24个月（180303期）</t>
  </si>
  <si>
    <t>320112195705260821</t>
  </si>
  <si>
    <t>查金梅</t>
  </si>
  <si>
    <t>储·盈计划-12个月（年月利0303期）</t>
  </si>
  <si>
    <t>320123196412243431</t>
  </si>
  <si>
    <t>汤从荣</t>
  </si>
  <si>
    <t>32012319840703444X</t>
  </si>
  <si>
    <t>陈兰琴</t>
  </si>
  <si>
    <t>32011119610620042X</t>
  </si>
  <si>
    <t>刘军</t>
  </si>
  <si>
    <t>储·盈计划-6个月（180303期）</t>
  </si>
  <si>
    <t>赵贵萍</t>
  </si>
  <si>
    <t>32108119820810511X</t>
  </si>
  <si>
    <t>童华军</t>
  </si>
  <si>
    <t>邹红伟</t>
  </si>
  <si>
    <t>410105196705112792</t>
  </si>
  <si>
    <t>卞荣贵</t>
  </si>
  <si>
    <t>储·盈计划-12个月（180303期）</t>
  </si>
  <si>
    <t>320111196308314425</t>
  </si>
  <si>
    <t>张秀芝</t>
  </si>
  <si>
    <t>韩云</t>
  </si>
  <si>
    <t>32011219630525083X</t>
  </si>
  <si>
    <t>朱有福</t>
  </si>
  <si>
    <t>320112194901110818</t>
  </si>
  <si>
    <t>王基礼</t>
  </si>
  <si>
    <t>32102119560110034X</t>
  </si>
  <si>
    <t>王秀萍</t>
  </si>
  <si>
    <t>320121195204082162</t>
  </si>
  <si>
    <t>栾小美</t>
  </si>
  <si>
    <t>320121198008072120</t>
  </si>
  <si>
    <t>32012419500503081X</t>
  </si>
  <si>
    <t>李益平</t>
  </si>
  <si>
    <t>522423197210010103</t>
  </si>
  <si>
    <t>李德菊</t>
  </si>
  <si>
    <t>320123195707040418</t>
  </si>
  <si>
    <t>冷荣林</t>
  </si>
  <si>
    <t>320123196212131451</t>
  </si>
  <si>
    <t>毛永森</t>
  </si>
  <si>
    <t>张小凤</t>
  </si>
  <si>
    <t>320123194907160436</t>
  </si>
  <si>
    <t>居长喜</t>
  </si>
  <si>
    <t>32011219431125001X</t>
  </si>
  <si>
    <t>郑杰</t>
  </si>
  <si>
    <t>32012319930601142X</t>
  </si>
  <si>
    <t>陈羽</t>
  </si>
  <si>
    <t>320124199407101623</t>
  </si>
  <si>
    <t>严珊珊</t>
  </si>
  <si>
    <t>320123194703150017</t>
  </si>
  <si>
    <t>戴家礼</t>
  </si>
  <si>
    <t>310109195501043219</t>
  </si>
  <si>
    <t>樊往端</t>
  </si>
  <si>
    <t>樊萍</t>
  </si>
  <si>
    <t>320123199608280828</t>
  </si>
  <si>
    <t>郑悦</t>
  </si>
  <si>
    <t>庞燕</t>
  </si>
  <si>
    <t>310102195112280427</t>
  </si>
  <si>
    <t>黄而兰</t>
  </si>
  <si>
    <t>陆思洁</t>
  </si>
  <si>
    <t>320923196902200948</t>
  </si>
  <si>
    <t>陈金林</t>
  </si>
  <si>
    <t>320123195606290012</t>
  </si>
  <si>
    <t>杨大山</t>
  </si>
  <si>
    <t>储·盈计划-12个月（180304期）</t>
  </si>
  <si>
    <t>32012319580811464x</t>
  </si>
  <si>
    <t>吴秀琴</t>
  </si>
  <si>
    <t>320123195802194618</t>
  </si>
  <si>
    <t>余益波</t>
  </si>
  <si>
    <t>320123198104061627</t>
  </si>
  <si>
    <t>成金梅</t>
  </si>
  <si>
    <t>320104195401191214</t>
  </si>
  <si>
    <t>孙发森</t>
  </si>
  <si>
    <t>320124196008123223</t>
  </si>
  <si>
    <t>马艳秋</t>
  </si>
  <si>
    <t>潘巧林</t>
  </si>
  <si>
    <t>320825197602141263</t>
  </si>
  <si>
    <t>季芹</t>
  </si>
  <si>
    <t>310110195907213228</t>
  </si>
  <si>
    <t>戴桂花</t>
  </si>
  <si>
    <t>320123197305152221</t>
  </si>
  <si>
    <t>李祥如</t>
  </si>
  <si>
    <t>320112194911271615</t>
  </si>
  <si>
    <t>潘国忠</t>
  </si>
  <si>
    <t>320123196210211626</t>
  </si>
  <si>
    <t>李秀华</t>
  </si>
  <si>
    <t>320123196909135241</t>
  </si>
  <si>
    <t>陈恩玉</t>
  </si>
  <si>
    <t>320111195512294826</t>
  </si>
  <si>
    <t>陈秀华</t>
  </si>
  <si>
    <t>320124196605051627</t>
  </si>
  <si>
    <t>陈春娣</t>
  </si>
  <si>
    <t>320112194104021628</t>
  </si>
  <si>
    <t>杨晓敏</t>
  </si>
  <si>
    <t>320123195708183437</t>
  </si>
  <si>
    <t>汤从华</t>
  </si>
  <si>
    <t>320124197902112240</t>
  </si>
  <si>
    <t>周小芳</t>
  </si>
  <si>
    <t>储·盈计划-6个月（180304期）</t>
  </si>
  <si>
    <t>310101194605064027</t>
  </si>
  <si>
    <t>朱冠琼</t>
  </si>
  <si>
    <t>320124196711261644</t>
  </si>
  <si>
    <t>翟红英</t>
  </si>
  <si>
    <t>310107197308294004</t>
  </si>
  <si>
    <t>李建华</t>
  </si>
  <si>
    <t>350122195906132314</t>
  </si>
  <si>
    <t>林善忠</t>
  </si>
  <si>
    <t>320111197305304824</t>
  </si>
  <si>
    <t>李峰</t>
  </si>
  <si>
    <t>34262519820327114X</t>
  </si>
  <si>
    <t>张思莲</t>
  </si>
  <si>
    <t>储·盈计划-24个月（180304期）</t>
  </si>
  <si>
    <t>储·盈计划-3个月（180304期）</t>
  </si>
  <si>
    <t>320123199101302629</t>
  </si>
  <si>
    <t>刘颖</t>
  </si>
  <si>
    <t>董永</t>
  </si>
  <si>
    <t>31022419641012472X</t>
  </si>
  <si>
    <t>顾菊梅</t>
  </si>
  <si>
    <t>320114197104062426</t>
  </si>
  <si>
    <t>吴彩霞</t>
  </si>
  <si>
    <t>610103196803203668</t>
  </si>
  <si>
    <t>孙仲红</t>
  </si>
  <si>
    <t>320124197402010061</t>
  </si>
  <si>
    <t>游玉珍</t>
  </si>
  <si>
    <t>320124197803270024</t>
  </si>
  <si>
    <t>周道香</t>
  </si>
  <si>
    <t>320112197810050024</t>
  </si>
  <si>
    <t>曹霞</t>
  </si>
  <si>
    <t>320112197203150023</t>
  </si>
  <si>
    <t>潘建凤</t>
  </si>
  <si>
    <t>王培</t>
  </si>
  <si>
    <t>620302196712250617</t>
  </si>
  <si>
    <t>张雪峰</t>
  </si>
  <si>
    <t>32012419651114286x</t>
  </si>
  <si>
    <t>陈丽萍</t>
  </si>
  <si>
    <t>34122519781216203X</t>
  </si>
  <si>
    <t>杨飞豹</t>
  </si>
  <si>
    <t>李振秀</t>
  </si>
  <si>
    <t>320122197612110842</t>
  </si>
  <si>
    <t>朱爱琴</t>
  </si>
  <si>
    <t>320111196807270826</t>
  </si>
  <si>
    <t>赵玲玮</t>
  </si>
  <si>
    <t>徐娟</t>
  </si>
  <si>
    <t>320121197712040945</t>
  </si>
  <si>
    <t>耿小会</t>
  </si>
  <si>
    <t>320112197912040820</t>
  </si>
  <si>
    <t>潘璟</t>
  </si>
  <si>
    <t>储·盈计划-3个月（180305期）</t>
  </si>
  <si>
    <t>320123196810120445</t>
  </si>
  <si>
    <t>陈爱玲</t>
  </si>
  <si>
    <t>320124197610162246</t>
  </si>
  <si>
    <t>周生英</t>
  </si>
  <si>
    <t>320104197107210874</t>
  </si>
  <si>
    <t>陆熙龙</t>
  </si>
  <si>
    <t>320281198707214265</t>
  </si>
  <si>
    <t>钱海红</t>
  </si>
  <si>
    <t>顾锦冬</t>
  </si>
  <si>
    <t>320111196607044824</t>
  </si>
  <si>
    <t>孙旭珠</t>
  </si>
  <si>
    <t>颜红</t>
  </si>
  <si>
    <t>320111193712264817</t>
  </si>
  <si>
    <t>李永洲</t>
  </si>
  <si>
    <t>储·盈计划-12个月（年月利0305期）</t>
  </si>
  <si>
    <t>李波</t>
  </si>
  <si>
    <t>320123195603125046</t>
  </si>
  <si>
    <t>张秀英</t>
  </si>
  <si>
    <t>储·盈计划-6个月（180305期）</t>
  </si>
  <si>
    <t>320123199106201421</t>
  </si>
  <si>
    <t>呙凤溪</t>
  </si>
  <si>
    <t>陈飞</t>
  </si>
  <si>
    <t>320123195009250215</t>
  </si>
  <si>
    <t>黎宜生</t>
  </si>
  <si>
    <t>储·盈计划-12个月（180305期）</t>
  </si>
  <si>
    <t>310104194402212842</t>
  </si>
  <si>
    <t>尹根香</t>
  </si>
  <si>
    <t>周翡</t>
  </si>
  <si>
    <t>321028196706155637</t>
  </si>
  <si>
    <t>阮刘林</t>
  </si>
  <si>
    <t>320102198606300841</t>
  </si>
  <si>
    <t>陈雯雯</t>
  </si>
  <si>
    <t>钱涛</t>
  </si>
  <si>
    <t>320123196510121438</t>
  </si>
  <si>
    <t>呙少春</t>
  </si>
  <si>
    <t>320123196004090026</t>
  </si>
  <si>
    <t>李玲</t>
  </si>
  <si>
    <t>32012419690330141X</t>
  </si>
  <si>
    <t>戴祖庆</t>
  </si>
  <si>
    <t>330725197107225124</t>
  </si>
  <si>
    <t>陈小红</t>
  </si>
  <si>
    <t>320123197809124830</t>
  </si>
  <si>
    <t>秦永章</t>
  </si>
  <si>
    <t>320124196903041611</t>
  </si>
  <si>
    <t>牛福连</t>
  </si>
  <si>
    <t>储·盈计划-12个月（180306期）</t>
  </si>
  <si>
    <t>430821198908124241</t>
  </si>
  <si>
    <t>李英</t>
  </si>
  <si>
    <t>320107195908091852</t>
  </si>
  <si>
    <t>杨月强</t>
  </si>
  <si>
    <t>汤晓娟</t>
  </si>
  <si>
    <t>320112196102011222</t>
  </si>
  <si>
    <t>郭其英</t>
  </si>
  <si>
    <t>63010519771105001X</t>
  </si>
  <si>
    <t>宋积奎</t>
  </si>
  <si>
    <t>320123198701141430</t>
  </si>
  <si>
    <t>周金彪</t>
  </si>
  <si>
    <t>320123198111271497</t>
  </si>
  <si>
    <t>潘玉青</t>
  </si>
  <si>
    <t>320123197110290042</t>
  </si>
  <si>
    <t>陈仕萍</t>
  </si>
  <si>
    <t>320112193611241647</t>
  </si>
  <si>
    <t>张桂英</t>
  </si>
  <si>
    <t>320112196112281648</t>
  </si>
  <si>
    <t>张旗云</t>
  </si>
  <si>
    <t>422202195408011827</t>
  </si>
  <si>
    <t>袁素芹</t>
  </si>
  <si>
    <t>32012419800519122X</t>
  </si>
  <si>
    <t>李明霞</t>
  </si>
  <si>
    <t>320123198202261446</t>
  </si>
  <si>
    <t>王春青</t>
  </si>
  <si>
    <t>储·盈计划-6个月（180306期）</t>
  </si>
  <si>
    <t>310106196712090459</t>
  </si>
  <si>
    <t>王晔伟</t>
  </si>
  <si>
    <t>320112194002041644</t>
  </si>
  <si>
    <t>王兴杰</t>
  </si>
  <si>
    <t>320123197507140229</t>
  </si>
  <si>
    <t>陆金仙</t>
  </si>
  <si>
    <t>储·盈计划-12个月（年月利0306期）</t>
  </si>
  <si>
    <t>320122196110191625</t>
  </si>
  <si>
    <t>韩英</t>
  </si>
  <si>
    <t>320114196809031828</t>
  </si>
  <si>
    <t>付传兰</t>
  </si>
  <si>
    <t>储·盈计划-3个月（180306期）</t>
  </si>
  <si>
    <t>何旋</t>
  </si>
  <si>
    <t>320112195407140426</t>
  </si>
  <si>
    <t>黄金凤</t>
  </si>
  <si>
    <t>赵鹏1</t>
  </si>
  <si>
    <t>320112197706190422</t>
  </si>
  <si>
    <t>陈吕红</t>
  </si>
  <si>
    <t>戴素萍</t>
  </si>
  <si>
    <t>32012319891227302X</t>
  </si>
  <si>
    <t>夏祖丽</t>
  </si>
  <si>
    <t>32012319590820022X</t>
  </si>
  <si>
    <t>常瑞卿</t>
  </si>
  <si>
    <t>341127198403185224</t>
  </si>
  <si>
    <t>陈筠筠</t>
  </si>
  <si>
    <t>储·盈计划-3个月（180307期）</t>
  </si>
  <si>
    <t>陈旭涵</t>
  </si>
  <si>
    <t>320122197310172036</t>
  </si>
  <si>
    <t>何继汉</t>
  </si>
  <si>
    <t>320111196305044466</t>
  </si>
  <si>
    <t>邓家红</t>
  </si>
  <si>
    <t>32012419701012182X</t>
  </si>
  <si>
    <t>钱春美</t>
  </si>
  <si>
    <t>320112196212301706</t>
  </si>
  <si>
    <t>毛燕敏</t>
  </si>
  <si>
    <t>吴震泽</t>
  </si>
  <si>
    <t>360122194003180013</t>
  </si>
  <si>
    <t>李洪武</t>
  </si>
  <si>
    <t>储·盈计划-12个月（180307期）</t>
  </si>
  <si>
    <t>320123195607232033</t>
  </si>
  <si>
    <t>沈启亚</t>
  </si>
  <si>
    <t>320112196811011233</t>
  </si>
  <si>
    <t>王荣生</t>
  </si>
  <si>
    <t>320111197910234828</t>
  </si>
  <si>
    <t>陈燕</t>
  </si>
  <si>
    <t>320123198112051429</t>
  </si>
  <si>
    <t>杨秀琴</t>
  </si>
  <si>
    <t>成秀乔</t>
  </si>
  <si>
    <t>310112197406251017</t>
  </si>
  <si>
    <t>袁奕竑</t>
  </si>
  <si>
    <t>510224197501134810</t>
  </si>
  <si>
    <t>包季成</t>
  </si>
  <si>
    <t>321025195705100067</t>
  </si>
  <si>
    <t>张家华</t>
  </si>
  <si>
    <t>320123197011152023</t>
  </si>
  <si>
    <t>吴明香</t>
  </si>
  <si>
    <t>320123196309161681</t>
  </si>
  <si>
    <t>张菊美</t>
  </si>
  <si>
    <t>362330197106129006</t>
  </si>
  <si>
    <t>胡军</t>
  </si>
  <si>
    <t>320112197110151246</t>
  </si>
  <si>
    <t>陈相红</t>
  </si>
  <si>
    <t>320112196601221662</t>
  </si>
  <si>
    <t>包素兰</t>
  </si>
  <si>
    <t>320103198708021524</t>
  </si>
  <si>
    <t>李倩</t>
  </si>
  <si>
    <t>储·盈计划-12个月（180308期）</t>
  </si>
  <si>
    <t>310110192805236214</t>
  </si>
  <si>
    <t>钟志瑾</t>
  </si>
  <si>
    <t>320124196408080015</t>
  </si>
  <si>
    <t>王启龙</t>
  </si>
  <si>
    <t>320123198207033864</t>
  </si>
  <si>
    <t>吴开云</t>
  </si>
  <si>
    <t>320112199904200424</t>
  </si>
  <si>
    <t>李梦喆</t>
  </si>
  <si>
    <t>王琼</t>
  </si>
  <si>
    <t>320123195412304623</t>
  </si>
  <si>
    <t>杨明兰</t>
  </si>
  <si>
    <t>320924196801151055</t>
  </si>
  <si>
    <t>戴光亚</t>
  </si>
  <si>
    <t>320123196204090223</t>
  </si>
  <si>
    <t>张翔凌</t>
  </si>
  <si>
    <t>320107198006191321</t>
  </si>
  <si>
    <t>陈素芹</t>
  </si>
  <si>
    <t>320124194905200613</t>
  </si>
  <si>
    <t>梁勇</t>
  </si>
  <si>
    <t>320122197201201643</t>
  </si>
  <si>
    <t>王俊</t>
  </si>
  <si>
    <t>320123196709093227</t>
  </si>
  <si>
    <t>王丽超</t>
  </si>
  <si>
    <t>320123195903113629</t>
  </si>
  <si>
    <t>尤翠英</t>
  </si>
  <si>
    <t>320124196506271632</t>
  </si>
  <si>
    <t>严德银</t>
  </si>
  <si>
    <t>320123195807080046</t>
  </si>
  <si>
    <t>应桂霞</t>
  </si>
  <si>
    <t>320123194403215210</t>
  </si>
  <si>
    <t>尤德兵</t>
  </si>
  <si>
    <t>320123197010293422</t>
  </si>
  <si>
    <t>李金红</t>
  </si>
  <si>
    <t>32012319540427003X</t>
  </si>
  <si>
    <t>李军生</t>
  </si>
  <si>
    <t>320123197002160259</t>
  </si>
  <si>
    <t>533124197705210310</t>
  </si>
  <si>
    <t>唐春亮</t>
  </si>
  <si>
    <t>31011019631106430X</t>
  </si>
  <si>
    <t>张惠菊</t>
  </si>
  <si>
    <t>320112194110010423</t>
  </si>
  <si>
    <t>吕景贤</t>
  </si>
  <si>
    <t>320926196702100028</t>
  </si>
  <si>
    <t>吴显华</t>
  </si>
  <si>
    <t>储·盈计划-6个月（180308期）</t>
  </si>
  <si>
    <t>储·盈计划-12个月（年月利0308期）</t>
  </si>
  <si>
    <t>320111198509154826</t>
  </si>
  <si>
    <t>杨芳芳</t>
  </si>
  <si>
    <t>320123197611153425</t>
  </si>
  <si>
    <t>简会增</t>
  </si>
  <si>
    <t>储·盈计划-24个月（180308期）</t>
  </si>
  <si>
    <t>430821198706294226</t>
  </si>
  <si>
    <t>李丽</t>
  </si>
  <si>
    <t>320124198205283225</t>
  </si>
  <si>
    <t>芮琦</t>
  </si>
  <si>
    <t>储·盈计划-3个月（180308期）</t>
  </si>
  <si>
    <t>321123196603130414</t>
  </si>
  <si>
    <t>常宏喜</t>
  </si>
  <si>
    <t>320111195308253621</t>
  </si>
  <si>
    <t>苏梅</t>
  </si>
  <si>
    <t>522701195806223360</t>
  </si>
  <si>
    <t>许丽华</t>
  </si>
  <si>
    <t>310108195209244447</t>
  </si>
  <si>
    <t>310104195006020026</t>
  </si>
  <si>
    <t>沈毅</t>
  </si>
  <si>
    <t>陈玲凤</t>
  </si>
  <si>
    <t>320123196907160224</t>
  </si>
  <si>
    <t>陈丽红</t>
  </si>
  <si>
    <t>34010219680920052X</t>
  </si>
  <si>
    <t>姜文</t>
  </si>
  <si>
    <t>513424196906242122</t>
  </si>
  <si>
    <t>张琴</t>
  </si>
  <si>
    <t>320112196403130428</t>
  </si>
  <si>
    <t>袁廷艳</t>
  </si>
  <si>
    <t>320123194904290016</t>
  </si>
  <si>
    <t>邵秀元</t>
  </si>
  <si>
    <t>320112195501250031</t>
  </si>
  <si>
    <t>范富生</t>
  </si>
  <si>
    <t>632801197610288015</t>
  </si>
  <si>
    <t>骆进益</t>
  </si>
  <si>
    <t>320102196204150810</t>
  </si>
  <si>
    <t>曹帮贤</t>
  </si>
  <si>
    <t>320123196901083416</t>
  </si>
  <si>
    <t>曾国庆</t>
  </si>
  <si>
    <t>320124196204191645</t>
  </si>
  <si>
    <t>王春香</t>
  </si>
  <si>
    <t>430821199501090048</t>
  </si>
  <si>
    <t>付麒蓉</t>
  </si>
  <si>
    <t>320123197010251820</t>
  </si>
  <si>
    <t>王爱蓉</t>
  </si>
  <si>
    <t>320124197007120041</t>
  </si>
  <si>
    <t>曹益琴</t>
  </si>
  <si>
    <t>320124195704172411</t>
  </si>
  <si>
    <t>吕兆林</t>
  </si>
  <si>
    <t>31010119700906442X</t>
  </si>
  <si>
    <t>陈翠华</t>
  </si>
  <si>
    <t>320124197709191426</t>
  </si>
  <si>
    <t>宋巧红</t>
  </si>
  <si>
    <t>320123198902241411</t>
  </si>
  <si>
    <t>周星</t>
  </si>
  <si>
    <t>储·盈计划-3个月（180309期）</t>
  </si>
  <si>
    <t>310105200508092812</t>
  </si>
  <si>
    <t>虞一舟</t>
  </si>
  <si>
    <t>320102196501081241</t>
  </si>
  <si>
    <t>许李玫</t>
  </si>
  <si>
    <t>320106195808252421</t>
  </si>
  <si>
    <t>李田</t>
  </si>
  <si>
    <t>321123196408145864</t>
  </si>
  <si>
    <t>金龙英</t>
  </si>
  <si>
    <t>320111195907240427</t>
  </si>
  <si>
    <t>赵诚美</t>
  </si>
  <si>
    <t>320104197002061622</t>
  </si>
  <si>
    <t>王月玲</t>
  </si>
  <si>
    <t>蔡怀霞</t>
  </si>
  <si>
    <t>储·盈计划-24个月（180309期）</t>
  </si>
  <si>
    <t>320112195807121638</t>
  </si>
  <si>
    <t>陈相如</t>
  </si>
  <si>
    <t>储·盈计划-12个月（年月利0309期）</t>
  </si>
  <si>
    <t>310104198609223619</t>
  </si>
  <si>
    <t>周毅</t>
  </si>
  <si>
    <t>320111198308275226</t>
  </si>
  <si>
    <t>李菁</t>
  </si>
  <si>
    <t>320822197109250061</t>
  </si>
  <si>
    <t>孙跃芳</t>
  </si>
  <si>
    <t>储·盈计划-6个月（180309期）</t>
  </si>
  <si>
    <t>320122196508100869</t>
  </si>
  <si>
    <t>董立梅</t>
  </si>
  <si>
    <t>储·盈计划-12个月（180309期）</t>
  </si>
  <si>
    <t>32012219631212122X</t>
  </si>
  <si>
    <t>徐芝霞</t>
  </si>
  <si>
    <t>320122195505171616</t>
  </si>
  <si>
    <t>汪功铭</t>
  </si>
  <si>
    <t>320112195212091628</t>
  </si>
  <si>
    <t>李春梅</t>
  </si>
  <si>
    <t>320124195303272024</t>
  </si>
  <si>
    <t>徐立英</t>
  </si>
  <si>
    <t>342322196910171223</t>
  </si>
  <si>
    <t>高孝英</t>
  </si>
  <si>
    <t>320123196912181425</t>
  </si>
  <si>
    <t>刘兆凤</t>
  </si>
  <si>
    <t>320123197004184852</t>
  </si>
  <si>
    <t>胡传祥</t>
  </si>
  <si>
    <t>320112195909230421</t>
  </si>
  <si>
    <t>王仁霞</t>
  </si>
  <si>
    <t>320111196606213235</t>
  </si>
  <si>
    <t>张宏财</t>
  </si>
  <si>
    <t>320123195710210422</t>
  </si>
  <si>
    <t>林素琴</t>
  </si>
  <si>
    <t>320123195407090210</t>
  </si>
  <si>
    <t>王玉平</t>
  </si>
  <si>
    <t>储·盈计划-12个月（180310期）</t>
  </si>
  <si>
    <t>320123196010180415</t>
  </si>
  <si>
    <t>施立勇</t>
  </si>
  <si>
    <t>320123197402100220</t>
  </si>
  <si>
    <t>张小丽</t>
  </si>
  <si>
    <t>342201197911010621</t>
  </si>
  <si>
    <t>王新红</t>
  </si>
  <si>
    <t>李建朋</t>
  </si>
  <si>
    <t>310110196311153847</t>
  </si>
  <si>
    <t>王玮</t>
  </si>
  <si>
    <t>320123197411274222</t>
  </si>
  <si>
    <t>叶开香</t>
  </si>
  <si>
    <t>320112195002041622</t>
  </si>
  <si>
    <t>余迎春</t>
  </si>
  <si>
    <t>320123195201194647</t>
  </si>
  <si>
    <t>王祝兰</t>
  </si>
  <si>
    <t>320112196601130867</t>
  </si>
  <si>
    <t>庄秀英</t>
  </si>
  <si>
    <t>320123196810255075</t>
  </si>
  <si>
    <t>林中越</t>
  </si>
  <si>
    <t>320423197205070014</t>
  </si>
  <si>
    <t>花志华</t>
  </si>
  <si>
    <t>341122197004105868</t>
  </si>
  <si>
    <t>杜美萍</t>
  </si>
  <si>
    <t>320111197405014023</t>
  </si>
  <si>
    <t>姬林梅</t>
  </si>
  <si>
    <t>320123195510100237</t>
  </si>
  <si>
    <t>吕建民</t>
  </si>
  <si>
    <t>320124196811230220</t>
  </si>
  <si>
    <t>潘娟</t>
  </si>
  <si>
    <t>储·盈计划-6个月（180310期）</t>
  </si>
  <si>
    <t>320124196803311493</t>
  </si>
  <si>
    <t>吴兆坤</t>
  </si>
  <si>
    <t>储·盈计划-3个月（180310期）</t>
  </si>
  <si>
    <t>320122196906180040</t>
  </si>
  <si>
    <t>方加秀</t>
  </si>
  <si>
    <t>320123196610220265</t>
  </si>
  <si>
    <t>刘玉霞</t>
  </si>
  <si>
    <t>320123197510150225</t>
  </si>
  <si>
    <t>达爱华</t>
  </si>
  <si>
    <t>320124196709270226</t>
  </si>
  <si>
    <t>王兰英</t>
  </si>
  <si>
    <t>330719198012230227</t>
  </si>
  <si>
    <t>杜宇丹</t>
  </si>
  <si>
    <t>付卫芳</t>
  </si>
  <si>
    <t>320981198308208624</t>
  </si>
  <si>
    <t>陈媛</t>
  </si>
  <si>
    <t>320112195609071625</t>
  </si>
  <si>
    <t>钱静</t>
  </si>
  <si>
    <t>储·盈计划-3个月（180311期）</t>
  </si>
  <si>
    <t>320112197103050447</t>
  </si>
  <si>
    <t>郭杰</t>
  </si>
  <si>
    <t>320123196606062620</t>
  </si>
  <si>
    <t>翁修华</t>
  </si>
  <si>
    <t>321081197003124865</t>
  </si>
  <si>
    <t>310115199104301929</t>
  </si>
  <si>
    <t>宋漪静</t>
  </si>
  <si>
    <t>341221198603296276</t>
  </si>
  <si>
    <t>顾洪海</t>
  </si>
  <si>
    <t>320111196502140465</t>
  </si>
  <si>
    <t>沈永玲</t>
  </si>
  <si>
    <t>320123197402104045</t>
  </si>
  <si>
    <t>徐春卉</t>
  </si>
  <si>
    <t>320123195512300216</t>
  </si>
  <si>
    <t>张如清</t>
  </si>
  <si>
    <t>储·盈计划-6个月（180311期）</t>
  </si>
  <si>
    <t>320123196104050283</t>
  </si>
  <si>
    <t>陈英</t>
  </si>
  <si>
    <t>320123196810022810</t>
  </si>
  <si>
    <t>杜恩平</t>
  </si>
  <si>
    <t>储·盈计划-12个月（180311期）</t>
  </si>
  <si>
    <t>320112195208131623</t>
  </si>
  <si>
    <t>王凤英</t>
  </si>
  <si>
    <t>320124194812283253</t>
  </si>
  <si>
    <t>张德贤</t>
  </si>
  <si>
    <t>320123196502091507</t>
  </si>
  <si>
    <t>张爱梅</t>
  </si>
  <si>
    <t>320123195409110211</t>
  </si>
  <si>
    <t>李九生</t>
  </si>
  <si>
    <t>320122196112150421</t>
  </si>
  <si>
    <t>杨少琴</t>
  </si>
  <si>
    <t>320123197406090015</t>
  </si>
  <si>
    <t>林峰</t>
  </si>
  <si>
    <t>630105197603030628</t>
  </si>
  <si>
    <t>张义红</t>
  </si>
  <si>
    <t>320102195212162016</t>
  </si>
  <si>
    <t>钱履常</t>
  </si>
  <si>
    <t>杜瑞</t>
  </si>
  <si>
    <t>321281197905031888</t>
  </si>
  <si>
    <t>戚所萍</t>
  </si>
  <si>
    <t>320124198909161621</t>
  </si>
  <si>
    <t>严雨婷</t>
  </si>
  <si>
    <t>320124195606171423</t>
  </si>
  <si>
    <t>陈爱华</t>
  </si>
  <si>
    <t>320111196304221248</t>
  </si>
  <si>
    <t>李春霞</t>
  </si>
  <si>
    <t>储·盈计划-12个月（180312期）</t>
  </si>
  <si>
    <t>马艳</t>
  </si>
  <si>
    <t>32012319670125521X</t>
  </si>
  <si>
    <t>王超平</t>
  </si>
  <si>
    <t>320112195602171236</t>
  </si>
  <si>
    <t>陈文财</t>
  </si>
  <si>
    <t>310101196008123649</t>
  </si>
  <si>
    <t>张敏慧</t>
  </si>
  <si>
    <t>310101196809283626</t>
  </si>
  <si>
    <t>张敏珏</t>
  </si>
  <si>
    <t>32012319630903026x</t>
  </si>
  <si>
    <t>孟祥珍</t>
  </si>
  <si>
    <t>320112199303050010</t>
  </si>
  <si>
    <t>王超东</t>
  </si>
  <si>
    <t>320112193910051616</t>
  </si>
  <si>
    <t>刘学仁</t>
  </si>
  <si>
    <t>320122197010020823</t>
  </si>
  <si>
    <t>张秀四</t>
  </si>
  <si>
    <t>320122196511270033</t>
  </si>
  <si>
    <t>陈彪</t>
  </si>
  <si>
    <t>310107196310012059</t>
  </si>
  <si>
    <t>330725196907135130</t>
  </si>
  <si>
    <t>李立新</t>
  </si>
  <si>
    <t>32012319750416302X</t>
  </si>
  <si>
    <t>刘友琴</t>
  </si>
  <si>
    <t>320919196503125966</t>
  </si>
  <si>
    <t>徐素芹</t>
  </si>
  <si>
    <t>储·盈计划-6个月（180312期）</t>
  </si>
  <si>
    <t>32012419531211161X</t>
  </si>
  <si>
    <t>甘培祥</t>
  </si>
  <si>
    <t>320123197603171623</t>
  </si>
  <si>
    <t>孙玉华</t>
  </si>
  <si>
    <t>320112197309061213</t>
  </si>
  <si>
    <t>陈大山</t>
  </si>
  <si>
    <t>储·盈计划-12个月（年月利0312期）</t>
  </si>
  <si>
    <t>320111194309290817</t>
  </si>
  <si>
    <t>翟毅正</t>
  </si>
  <si>
    <t>储·盈计划-3个月（180312期）</t>
  </si>
  <si>
    <t>320111196507283617</t>
  </si>
  <si>
    <t>朱德明</t>
  </si>
  <si>
    <t>341622198211121336</t>
  </si>
  <si>
    <t>于同化</t>
  </si>
  <si>
    <t>652827194609043612</t>
  </si>
  <si>
    <t>虞宁兴</t>
  </si>
  <si>
    <t>320112193807260014</t>
  </si>
  <si>
    <t>李晓峰</t>
  </si>
  <si>
    <t>330523198201160524</t>
  </si>
  <si>
    <t>许珍珠</t>
  </si>
  <si>
    <t>320827197804290825</t>
  </si>
  <si>
    <t>夏玉芹</t>
  </si>
  <si>
    <t>320919195712238620</t>
  </si>
  <si>
    <t>冯苏宁</t>
  </si>
  <si>
    <t>320123197911201687</t>
  </si>
  <si>
    <t>310101196106074422</t>
  </si>
  <si>
    <t>徐秀娟</t>
  </si>
  <si>
    <t>32118119790313022X</t>
  </si>
  <si>
    <t>朱银仙</t>
  </si>
  <si>
    <t>320124197612212227</t>
  </si>
  <si>
    <t>陈冬娣</t>
  </si>
  <si>
    <t>320722198808058123</t>
  </si>
  <si>
    <t>张燕</t>
  </si>
  <si>
    <t>320102195602073246</t>
  </si>
  <si>
    <t>张华</t>
  </si>
  <si>
    <t>320705198201300562</t>
  </si>
  <si>
    <t>刘鑫鑫</t>
  </si>
  <si>
    <t>储·盈计划-3个月（180313期）</t>
  </si>
  <si>
    <t>310226195502284729</t>
  </si>
  <si>
    <t>320123197810132416</t>
  </si>
  <si>
    <t>王宗辉</t>
  </si>
  <si>
    <t>田海萍</t>
  </si>
  <si>
    <t>32012319781223482X</t>
  </si>
  <si>
    <t>金小妹</t>
  </si>
  <si>
    <t>310102195606275222</t>
  </si>
  <si>
    <t>张莉萍</t>
  </si>
  <si>
    <t>320724198405050947</t>
  </si>
  <si>
    <t>孙桂红</t>
  </si>
  <si>
    <t>310105196306061680</t>
  </si>
  <si>
    <t>江美熙</t>
  </si>
  <si>
    <t>34262319780910551X</t>
  </si>
  <si>
    <t>曹飞</t>
  </si>
  <si>
    <t>320124197302030225</t>
  </si>
  <si>
    <t>徐良珍</t>
  </si>
  <si>
    <t>储·盈计划-12个月（年月利0313期）</t>
  </si>
  <si>
    <t>320123199104115028</t>
  </si>
  <si>
    <t>李婷</t>
  </si>
  <si>
    <t>320111196810103615</t>
  </si>
  <si>
    <t>金文彬</t>
  </si>
  <si>
    <t>储·盈计划-6个月（180313期）</t>
  </si>
  <si>
    <t>310225195103200042</t>
  </si>
  <si>
    <t>张建英</t>
  </si>
  <si>
    <t>320105194007200620</t>
  </si>
  <si>
    <t>周桂芳</t>
  </si>
  <si>
    <t>储·盈计划-12个月（180313期）</t>
  </si>
  <si>
    <t>142730197610052221</t>
  </si>
  <si>
    <t>武卫荣</t>
  </si>
  <si>
    <t>310102195712053623</t>
  </si>
  <si>
    <t>严薇忠</t>
  </si>
  <si>
    <t>320105194702121617</t>
  </si>
  <si>
    <t>王锡成</t>
  </si>
  <si>
    <t>320124195401302848</t>
  </si>
  <si>
    <t>陈金凤</t>
  </si>
  <si>
    <t>320111195101151222</t>
  </si>
  <si>
    <t>李美京</t>
  </si>
  <si>
    <t>320111197309263628</t>
  </si>
  <si>
    <t>刘仁霞</t>
  </si>
  <si>
    <t>320124196202160810</t>
  </si>
  <si>
    <t>吴祖亮</t>
  </si>
  <si>
    <t>储·盈计划-12个月（180314期）</t>
  </si>
  <si>
    <t>360104199809151924</t>
  </si>
  <si>
    <t>徐云雯</t>
  </si>
  <si>
    <t>320112198008090410</t>
  </si>
  <si>
    <t>程飞</t>
  </si>
  <si>
    <t>320112195809181634</t>
  </si>
  <si>
    <t>王克厚</t>
  </si>
  <si>
    <t>320112196111141627</t>
  </si>
  <si>
    <t>冯丽莎</t>
  </si>
  <si>
    <t>320124197004272226</t>
  </si>
  <si>
    <t>赵亲娣</t>
  </si>
  <si>
    <t>320123193711270014</t>
  </si>
  <si>
    <t>陈仁和</t>
  </si>
  <si>
    <t>310110198805134514</t>
  </si>
  <si>
    <t>钟华辰</t>
  </si>
  <si>
    <t>320123198206114822</t>
  </si>
  <si>
    <t>32012419581204322X</t>
  </si>
  <si>
    <t>彭群</t>
  </si>
  <si>
    <t>32012319580601141X</t>
  </si>
  <si>
    <t>魏良超</t>
  </si>
  <si>
    <t>320112196905310410</t>
  </si>
  <si>
    <t>付坚</t>
  </si>
  <si>
    <t>320123196507270029</t>
  </si>
  <si>
    <t>陈素芳</t>
  </si>
  <si>
    <t>320123196912100023</t>
  </si>
  <si>
    <t>郑小平</t>
  </si>
  <si>
    <t>320122197008101624</t>
  </si>
  <si>
    <t>320111196802203229</t>
  </si>
  <si>
    <t>孟凡翠</t>
  </si>
  <si>
    <t>320111196606264462</t>
  </si>
  <si>
    <t>许红</t>
  </si>
  <si>
    <t>321027196405100943</t>
  </si>
  <si>
    <t>杨丽华</t>
  </si>
  <si>
    <t>320123196009160273</t>
  </si>
  <si>
    <t>张新新</t>
  </si>
  <si>
    <t>32030519830701196X</t>
  </si>
  <si>
    <t>刘园园</t>
  </si>
  <si>
    <t>320124195510263219</t>
  </si>
  <si>
    <t>王述荣</t>
  </si>
  <si>
    <t>320123197107110012</t>
  </si>
  <si>
    <t>袁维金</t>
  </si>
  <si>
    <t>320112196506201217</t>
  </si>
  <si>
    <t>宋家海</t>
  </si>
  <si>
    <t>320124197201221620</t>
  </si>
  <si>
    <t>施荣花</t>
  </si>
  <si>
    <t>储·盈计划-6个月（180314期）</t>
  </si>
  <si>
    <t>储·盈计划-12个月（年月利0314期）</t>
  </si>
  <si>
    <t>储·盈计划-3个月（180314期）</t>
  </si>
  <si>
    <t>310109195006173243</t>
  </si>
  <si>
    <t>邵惠瑜</t>
  </si>
  <si>
    <t>320123197111262449</t>
  </si>
  <si>
    <t>宣红</t>
  </si>
  <si>
    <t>310115197909077021</t>
  </si>
  <si>
    <t>曹秀萍</t>
  </si>
  <si>
    <t>320112196408280820</t>
  </si>
  <si>
    <t>刘桂萍</t>
  </si>
  <si>
    <t>320112197303060420</t>
  </si>
  <si>
    <t>刘泽英</t>
  </si>
  <si>
    <t>朱晓杰</t>
  </si>
  <si>
    <t>340521198310222025</t>
  </si>
  <si>
    <t>杨晓丹</t>
  </si>
  <si>
    <t>320122195904150062</t>
  </si>
  <si>
    <t>姚红霞</t>
  </si>
  <si>
    <t>320124196806301469</t>
  </si>
  <si>
    <t>320123196805120248</t>
  </si>
  <si>
    <t>程晓红</t>
  </si>
  <si>
    <t>320123196802065263</t>
  </si>
  <si>
    <t>岳翠华</t>
  </si>
  <si>
    <t>310101195102064839</t>
  </si>
  <si>
    <t>吴志清</t>
  </si>
  <si>
    <t>储·盈计划-3个月（180315期）</t>
  </si>
  <si>
    <t>320112197904160419</t>
  </si>
  <si>
    <t>梅浩</t>
  </si>
  <si>
    <t>320111196212174827</t>
  </si>
  <si>
    <t>陈玉华</t>
  </si>
  <si>
    <t>31010319360913326X</t>
  </si>
  <si>
    <t>姚顺宝</t>
  </si>
  <si>
    <t>320123197810165074</t>
  </si>
  <si>
    <t>余守宏</t>
  </si>
  <si>
    <t>320705197111211545</t>
  </si>
  <si>
    <t>万荣绪</t>
  </si>
  <si>
    <t>342225197704165744</t>
  </si>
  <si>
    <t>周小艳</t>
  </si>
  <si>
    <t>320123194904010221</t>
  </si>
  <si>
    <t>常丽娟</t>
  </si>
  <si>
    <t>320112197001140417</t>
  </si>
  <si>
    <t>刘泽其</t>
  </si>
  <si>
    <t>320106196709170417</t>
  </si>
  <si>
    <t>杨澄</t>
  </si>
  <si>
    <t>储·盈计划-24个月（180315期）</t>
  </si>
  <si>
    <t>320112193608261639</t>
  </si>
  <si>
    <t>周正祥</t>
  </si>
  <si>
    <t>储·盈计划-6个月（180315期）</t>
  </si>
  <si>
    <t>320112195108051642</t>
  </si>
  <si>
    <t>蔡建军</t>
  </si>
  <si>
    <t>郭琴</t>
  </si>
  <si>
    <t>320124195303113234</t>
  </si>
  <si>
    <t>胡金保</t>
  </si>
  <si>
    <t>储·盈计划-12个月（180315期）</t>
  </si>
  <si>
    <t>320112196409100422</t>
  </si>
  <si>
    <t>曹文秀</t>
  </si>
  <si>
    <t>320123196411200421</t>
  </si>
  <si>
    <t>程爱珍</t>
  </si>
  <si>
    <t>310224195503069016</t>
  </si>
  <si>
    <t>沈德忠</t>
  </si>
  <si>
    <t>310109196407174823</t>
  </si>
  <si>
    <t>王尚臻</t>
  </si>
  <si>
    <t>320124194502191628</t>
  </si>
  <si>
    <t>甘秀兰</t>
  </si>
  <si>
    <t>320124196303161441</t>
  </si>
  <si>
    <t>严基娟</t>
  </si>
  <si>
    <t>320107197203190825</t>
  </si>
  <si>
    <t>熊琰</t>
  </si>
  <si>
    <t>320124195604023259</t>
  </si>
  <si>
    <t>张立平</t>
  </si>
  <si>
    <t>320112194803151624</t>
  </si>
  <si>
    <t>邓效芬</t>
  </si>
  <si>
    <t>310107196903174627</t>
  </si>
  <si>
    <t>韩良</t>
  </si>
  <si>
    <t>320123195205130026</t>
  </si>
  <si>
    <t>张玉华</t>
  </si>
  <si>
    <t>321081196910075142</t>
  </si>
  <si>
    <t>李永芳</t>
  </si>
  <si>
    <t>362324197002070321</t>
  </si>
  <si>
    <t>310107199012183021</t>
  </si>
  <si>
    <t>顾菲尔</t>
  </si>
  <si>
    <t>陈纪英</t>
  </si>
  <si>
    <t>320123195705210225</t>
  </si>
  <si>
    <t>严如凤</t>
  </si>
  <si>
    <t>320111198112254909</t>
  </si>
  <si>
    <t>李鸣飞</t>
  </si>
  <si>
    <t>320123198302141644</t>
  </si>
  <si>
    <t>王宗燕</t>
  </si>
  <si>
    <t>32011219571206081X</t>
  </si>
  <si>
    <t>陈跃进</t>
  </si>
  <si>
    <t>储·盈计划-12个月（180316期）</t>
  </si>
  <si>
    <t>320123197103011623</t>
  </si>
  <si>
    <t>陈玉翠</t>
  </si>
  <si>
    <t>321023199102176025</t>
  </si>
  <si>
    <t>鲁嘉萱</t>
  </si>
  <si>
    <t>320124195705241423</t>
  </si>
  <si>
    <t>曹太珍</t>
  </si>
  <si>
    <t>320124194809201624</t>
  </si>
  <si>
    <t>金桂英</t>
  </si>
  <si>
    <t>32012319660303021X</t>
  </si>
  <si>
    <t>邵乾平</t>
  </si>
  <si>
    <t>321025197205235685</t>
  </si>
  <si>
    <t>周夏娟</t>
  </si>
  <si>
    <t>320112194209191615</t>
  </si>
  <si>
    <t>何惠民</t>
  </si>
  <si>
    <t>320112195412161627</t>
  </si>
  <si>
    <t>王素华</t>
  </si>
  <si>
    <t>储·盈计划-6个月（180316期）</t>
  </si>
  <si>
    <t>320123198809051621</t>
  </si>
  <si>
    <t>胡萍</t>
  </si>
  <si>
    <t>310109196410062427</t>
  </si>
  <si>
    <t>高玲</t>
  </si>
  <si>
    <t>522701195805153364</t>
  </si>
  <si>
    <t>黄素英</t>
  </si>
  <si>
    <t>320111194712271210</t>
  </si>
  <si>
    <t>苏连生</t>
  </si>
  <si>
    <t>储·盈计划-12个月（年月利0316期）</t>
  </si>
  <si>
    <t>储·盈计划-3个月（180316期）</t>
  </si>
  <si>
    <t>310102196107091650</t>
  </si>
  <si>
    <t>徐金有</t>
  </si>
  <si>
    <t>610523198901035123</t>
  </si>
  <si>
    <t>王莎</t>
  </si>
  <si>
    <t>310110197701191229</t>
  </si>
  <si>
    <t>薛蕾</t>
  </si>
  <si>
    <t>陈谢琦</t>
  </si>
  <si>
    <t>320111196211283220</t>
  </si>
  <si>
    <t>李正美</t>
  </si>
  <si>
    <t>李正霞</t>
  </si>
  <si>
    <t>320121195406050927</t>
  </si>
  <si>
    <t>王世风</t>
  </si>
  <si>
    <t>320123196508260420</t>
  </si>
  <si>
    <t>朱红珍</t>
  </si>
  <si>
    <t>32012319680330182X</t>
  </si>
  <si>
    <t>徐红梅</t>
  </si>
  <si>
    <t>310104199304174814</t>
  </si>
  <si>
    <t>盛贇超</t>
  </si>
  <si>
    <t>储·盈计划-3个月（180317期）</t>
  </si>
  <si>
    <t>320124197105191644</t>
  </si>
  <si>
    <t>汤新兰</t>
  </si>
  <si>
    <t>320105198408050860</t>
  </si>
  <si>
    <t>于漾</t>
  </si>
  <si>
    <t>310106195707142504</t>
  </si>
  <si>
    <t>李莉</t>
  </si>
  <si>
    <t>320111198510294818</t>
  </si>
  <si>
    <t>320123197402263222</t>
  </si>
  <si>
    <t>项美林</t>
  </si>
  <si>
    <t>储·盈计划-24个月（180317期）</t>
  </si>
  <si>
    <t>320123197202100410</t>
  </si>
  <si>
    <t>吴先叶</t>
  </si>
  <si>
    <t>320123197011064648</t>
  </si>
  <si>
    <t>320123197204213427</t>
  </si>
  <si>
    <t>朱翠英</t>
  </si>
  <si>
    <t>储·盈计划-6个月（180317期）</t>
  </si>
  <si>
    <t>340827198603281023</t>
  </si>
  <si>
    <t>朱正娟</t>
  </si>
  <si>
    <t>32012419510824161X</t>
  </si>
  <si>
    <t>甘培贵</t>
  </si>
  <si>
    <t>储·盈计划-12个月（180317期）</t>
  </si>
  <si>
    <t>320123196207072012</t>
  </si>
  <si>
    <t>李德忠</t>
  </si>
  <si>
    <t>320122196309160834</t>
  </si>
  <si>
    <t>徐仕荣</t>
  </si>
  <si>
    <t>320112195106100439</t>
  </si>
  <si>
    <t>解清平</t>
  </si>
  <si>
    <t>320123196812114081</t>
  </si>
  <si>
    <t>袁桂华</t>
  </si>
  <si>
    <t>32083019650705001x</t>
  </si>
  <si>
    <t>汪德贵</t>
  </si>
  <si>
    <t>储·盈计划-12个月（180318期）</t>
  </si>
  <si>
    <t>320124199009083298</t>
  </si>
  <si>
    <t>吴升然</t>
  </si>
  <si>
    <t>310115198408161967</t>
  </si>
  <si>
    <t>32102319641121321X</t>
  </si>
  <si>
    <t>陈信付</t>
  </si>
  <si>
    <t>320111197110133615</t>
  </si>
  <si>
    <t>尤本军</t>
  </si>
  <si>
    <t>320123195809200216</t>
  </si>
  <si>
    <t>袁维仕</t>
  </si>
  <si>
    <t>310104197206072823</t>
  </si>
  <si>
    <t>320111199202130816</t>
  </si>
  <si>
    <t>孙胜文</t>
  </si>
  <si>
    <t>320921196305085416</t>
  </si>
  <si>
    <t>储·盈计划-6个月（180318期）</t>
  </si>
  <si>
    <t>320123194406080219</t>
  </si>
  <si>
    <t>陈鸣</t>
  </si>
  <si>
    <t>320624195504059382</t>
  </si>
  <si>
    <t>朱美石</t>
  </si>
  <si>
    <t>储·盈计划-24个月（180318期）</t>
  </si>
  <si>
    <t>321081197901065123</t>
  </si>
  <si>
    <t>赵爱娟</t>
  </si>
  <si>
    <t>储·盈计划-3个月（180318期）</t>
  </si>
  <si>
    <t>320124197303203220</t>
  </si>
  <si>
    <t>徐萍</t>
  </si>
  <si>
    <t>320123197008161420</t>
  </si>
  <si>
    <t>郭荣芹</t>
  </si>
  <si>
    <t>320112196501280446</t>
  </si>
  <si>
    <t>王芳</t>
  </si>
  <si>
    <t>320123197105020224</t>
  </si>
  <si>
    <t>纪学惠</t>
  </si>
  <si>
    <t>储·盈计划-3个月（180319期）</t>
  </si>
  <si>
    <t>320122196605250826</t>
  </si>
  <si>
    <t>李加梅</t>
  </si>
  <si>
    <t>320124196205250440</t>
  </si>
  <si>
    <t>黄保美</t>
  </si>
  <si>
    <t>321123196605120041</t>
  </si>
  <si>
    <t>徐淑芳</t>
  </si>
  <si>
    <t>310103193408163219</t>
  </si>
  <si>
    <t>沈国炳</t>
  </si>
  <si>
    <t>储·盈计划-12个月（年月利0319期）</t>
  </si>
  <si>
    <t>320112196510210829</t>
  </si>
  <si>
    <t>朱立萍</t>
  </si>
  <si>
    <t>储·盈计划-6个月（180319期）</t>
  </si>
  <si>
    <t>320123195210230216</t>
  </si>
  <si>
    <t>李锋</t>
  </si>
  <si>
    <t>储·盈计划-12个月（180319期）</t>
  </si>
  <si>
    <t>320123197103233410</t>
  </si>
  <si>
    <t>汤永春</t>
  </si>
  <si>
    <t>320124196208091641</t>
  </si>
  <si>
    <t>毛桂英</t>
  </si>
  <si>
    <t>320111195609020856</t>
  </si>
  <si>
    <t>张梽家</t>
  </si>
  <si>
    <t>320830197202102143</t>
  </si>
  <si>
    <t>顾现花</t>
  </si>
  <si>
    <t>320112197105290022</t>
  </si>
  <si>
    <t>320123197210164422</t>
  </si>
  <si>
    <t>柯爱红</t>
  </si>
  <si>
    <t>320821195901221357</t>
  </si>
  <si>
    <t>岳中权</t>
  </si>
  <si>
    <t>320123197306070041</t>
  </si>
  <si>
    <t>王爱军</t>
  </si>
  <si>
    <t>储·盈计划-12个月（180320期）</t>
  </si>
  <si>
    <t>340321198303208603</t>
  </si>
  <si>
    <t>张娟</t>
  </si>
  <si>
    <t>320123196203060225</t>
  </si>
  <si>
    <t>邵其荣</t>
  </si>
  <si>
    <t>320123197411010446</t>
  </si>
  <si>
    <t>郝爱红</t>
  </si>
  <si>
    <t>320124196512060022</t>
  </si>
  <si>
    <t>胡永梅</t>
  </si>
  <si>
    <t>320124195007163210</t>
  </si>
  <si>
    <t>马万荣</t>
  </si>
  <si>
    <t>320123197010070712</t>
  </si>
  <si>
    <t>郑进宝</t>
  </si>
  <si>
    <t>320123198112220616</t>
  </si>
  <si>
    <t>熊正邦</t>
  </si>
  <si>
    <t>32012319701024142X</t>
  </si>
  <si>
    <t>竺兴琴</t>
  </si>
  <si>
    <t>320123197001213849</t>
  </si>
  <si>
    <t>张月香</t>
  </si>
  <si>
    <t>320123197008120418</t>
  </si>
  <si>
    <t>王向东</t>
  </si>
  <si>
    <t>320123197402060249</t>
  </si>
  <si>
    <t>320123197907020218</t>
  </si>
  <si>
    <t>杨凯</t>
  </si>
  <si>
    <t>31010419630426084X</t>
  </si>
  <si>
    <t>320123196902210245</t>
  </si>
  <si>
    <t>张玉仙</t>
  </si>
  <si>
    <t>储·盈计划-6个月（180320期）</t>
  </si>
  <si>
    <t>320111196302150482</t>
  </si>
  <si>
    <t>胡敏</t>
  </si>
  <si>
    <t>储·盈计划-12个月（年月利0320期）</t>
  </si>
  <si>
    <t>储·盈计划-24个月（180320期）</t>
  </si>
  <si>
    <t>320122198001062022</t>
  </si>
  <si>
    <t>何宗翠</t>
  </si>
  <si>
    <t>储·盈计划-3个月（180320期）</t>
  </si>
  <si>
    <t>320106196110152028</t>
  </si>
  <si>
    <t>汪萍</t>
  </si>
  <si>
    <t>何凯</t>
  </si>
  <si>
    <t>310104198201114865</t>
  </si>
  <si>
    <t>言宏敏</t>
  </si>
  <si>
    <t>320112198909180421</t>
  </si>
  <si>
    <t>徐瑶</t>
  </si>
  <si>
    <t>320124197312201446</t>
  </si>
  <si>
    <t>孔德芳</t>
  </si>
  <si>
    <t>32012419860910262X</t>
  </si>
  <si>
    <t>甘翠</t>
  </si>
  <si>
    <t>342625198106041131</t>
  </si>
  <si>
    <t>杨进</t>
  </si>
  <si>
    <t>320111196802141224</t>
  </si>
  <si>
    <t>储·盈计划-3个月（180321期）</t>
  </si>
  <si>
    <t>320112197206040823</t>
  </si>
  <si>
    <t>陈云</t>
  </si>
  <si>
    <t>320124197105311423</t>
  </si>
  <si>
    <t>陈忠兰</t>
  </si>
  <si>
    <t>32012319760906444X</t>
  </si>
  <si>
    <t>陈书梅</t>
  </si>
  <si>
    <t>320111196307034827</t>
  </si>
  <si>
    <t>章发兰</t>
  </si>
  <si>
    <t>储·盈计划-12个月（年月利0321期）</t>
  </si>
  <si>
    <t>储·盈计划-6个月（180321期）</t>
  </si>
  <si>
    <t>320123196907034228</t>
  </si>
  <si>
    <t>潘梅</t>
  </si>
  <si>
    <t>320111195711291214</t>
  </si>
  <si>
    <t>张荣禄</t>
  </si>
  <si>
    <t>储·盈计划-12个月（180321期）</t>
  </si>
  <si>
    <t>320111195010153222</t>
  </si>
  <si>
    <t>赵家华</t>
  </si>
  <si>
    <t>32012319531106021X</t>
  </si>
  <si>
    <t>陈为成</t>
  </si>
  <si>
    <t>620104195510140521</t>
  </si>
  <si>
    <t>杨淑君</t>
  </si>
  <si>
    <t>320112195703020023</t>
  </si>
  <si>
    <t>马玉乔</t>
  </si>
  <si>
    <t>320223196711300825</t>
  </si>
  <si>
    <t>周玉琴</t>
  </si>
  <si>
    <t>320123197610310222</t>
  </si>
  <si>
    <t>杨丽</t>
  </si>
  <si>
    <t>310105200012172819</t>
  </si>
  <si>
    <t>虞云飞</t>
  </si>
  <si>
    <t>321027196804016968</t>
  </si>
  <si>
    <t>韩敏</t>
  </si>
  <si>
    <t>320112194811120414</t>
  </si>
  <si>
    <t>韩立进</t>
  </si>
  <si>
    <t>32012319550214001X</t>
  </si>
  <si>
    <t>程鑫健</t>
  </si>
  <si>
    <t>321281198606070179</t>
  </si>
  <si>
    <t>沈忱</t>
  </si>
  <si>
    <t>310110196301105868</t>
  </si>
  <si>
    <t>肖美丽</t>
  </si>
  <si>
    <t>362321197909118929</t>
  </si>
  <si>
    <t>郑茹芳</t>
  </si>
  <si>
    <t>310109195504061682</t>
  </si>
  <si>
    <t>储·盈计划-12个月（180322期）</t>
  </si>
  <si>
    <t>142726195410060063</t>
  </si>
  <si>
    <t>周远芳</t>
  </si>
  <si>
    <t>320112195911240418</t>
  </si>
  <si>
    <t>朱明强</t>
  </si>
  <si>
    <t>320123199402141443</t>
  </si>
  <si>
    <t>许文文</t>
  </si>
  <si>
    <t>32022319680716571X</t>
  </si>
  <si>
    <t>徐小中</t>
  </si>
  <si>
    <t>320223196804125720</t>
  </si>
  <si>
    <t>史祥勤</t>
  </si>
  <si>
    <t>320123197107224626</t>
  </si>
  <si>
    <t>321088198701077532</t>
  </si>
  <si>
    <t>郭威为</t>
  </si>
  <si>
    <t>320123197311141422</t>
  </si>
  <si>
    <t>张玉梅</t>
  </si>
  <si>
    <t>321002196609060624</t>
  </si>
  <si>
    <t>汪丽红</t>
  </si>
  <si>
    <t>342224199109051729</t>
  </si>
  <si>
    <t>刘丹丹</t>
  </si>
  <si>
    <t>储·盈计划-6个月（180322期）</t>
  </si>
  <si>
    <t>321119196702272843</t>
  </si>
  <si>
    <t>贺晓仙</t>
  </si>
  <si>
    <t>320123197812170221</t>
  </si>
  <si>
    <t>袁青</t>
  </si>
  <si>
    <t>储·盈计划-12个月（年月利0322期）</t>
  </si>
  <si>
    <t>储·盈计划-24个月（180322期）</t>
  </si>
  <si>
    <t>310105194702211637</t>
  </si>
  <si>
    <t>林俊泰</t>
  </si>
  <si>
    <t>储·盈计划-3个月（180322期）</t>
  </si>
  <si>
    <t>320111196408283232</t>
  </si>
  <si>
    <t>周志宝</t>
  </si>
  <si>
    <t>320123195507150233</t>
  </si>
  <si>
    <t>黎宜发</t>
  </si>
  <si>
    <t>320305198910271889</t>
  </si>
  <si>
    <t>赵连娣</t>
  </si>
  <si>
    <t>储·盈计划-3个月（180323期）</t>
  </si>
  <si>
    <t>320124196912240241</t>
  </si>
  <si>
    <t>王白兰</t>
  </si>
  <si>
    <t>320111197008064828</t>
  </si>
  <si>
    <t>320622197703150505</t>
  </si>
  <si>
    <t>刘小琴</t>
  </si>
  <si>
    <t>342623196808240029</t>
  </si>
  <si>
    <t>蒋光艳</t>
  </si>
  <si>
    <t>320202195410260018</t>
  </si>
  <si>
    <t>郁振强</t>
  </si>
  <si>
    <t>412321199002053040</t>
  </si>
  <si>
    <t>王艳玲</t>
  </si>
  <si>
    <t>储·盈计划-12个月（年月利0323期）</t>
  </si>
  <si>
    <t>320123197011251814</t>
  </si>
  <si>
    <t>郭建兵</t>
  </si>
  <si>
    <t>储·盈计划-6个月（180323期）</t>
  </si>
  <si>
    <t>320124196401223220</t>
  </si>
  <si>
    <t>陈华青</t>
  </si>
  <si>
    <t>320124198609211228</t>
  </si>
  <si>
    <t>许莎莎</t>
  </si>
  <si>
    <t>320112195105201617</t>
  </si>
  <si>
    <t>洪金文</t>
  </si>
  <si>
    <t>储·盈计划-12个月（180323期）</t>
  </si>
  <si>
    <t>储·盈计划-12个月（180324期）</t>
  </si>
  <si>
    <t>320124195607021427</t>
  </si>
  <si>
    <t>刘纪香</t>
  </si>
  <si>
    <t>320112195101030419</t>
  </si>
  <si>
    <t>马延章</t>
  </si>
  <si>
    <t>320125197210146024</t>
  </si>
  <si>
    <t>狄娜</t>
  </si>
  <si>
    <t>320112194201020432</t>
  </si>
  <si>
    <t>尹玉薛</t>
  </si>
  <si>
    <t>320107196110291825</t>
  </si>
  <si>
    <t>黄桂珍</t>
  </si>
  <si>
    <t>320123195508190229</t>
  </si>
  <si>
    <t>叶翠琴</t>
  </si>
  <si>
    <t>320124196502251415</t>
  </si>
  <si>
    <t>肖桂宝</t>
  </si>
  <si>
    <t>321283197812014440</t>
  </si>
  <si>
    <t>夏云</t>
  </si>
  <si>
    <t>320123196802130213</t>
  </si>
  <si>
    <t>曹春林</t>
  </si>
  <si>
    <t>310106196603084420</t>
  </si>
  <si>
    <t>傅兆凤</t>
  </si>
  <si>
    <t>341103197305021423</t>
  </si>
  <si>
    <t>贺宗萍</t>
  </si>
  <si>
    <t>320112194705270021</t>
  </si>
  <si>
    <t>刘玉莲</t>
  </si>
  <si>
    <t>储·盈计划-12个月（180325期）</t>
  </si>
  <si>
    <t>320111196504170019</t>
  </si>
  <si>
    <t>王建胜</t>
  </si>
  <si>
    <t>32012419701122162x</t>
  </si>
  <si>
    <t>经桂花</t>
  </si>
  <si>
    <t>342601197509204251</t>
  </si>
  <si>
    <t>崔华文</t>
  </si>
  <si>
    <t>310101195906224025</t>
  </si>
  <si>
    <t>富家珍</t>
  </si>
  <si>
    <t>320112195507040414</t>
  </si>
  <si>
    <t>吕宝新</t>
  </si>
  <si>
    <t>320112195705161620</t>
  </si>
  <si>
    <t>沈学红</t>
  </si>
  <si>
    <t>321321198102042915</t>
  </si>
  <si>
    <t>320124197307021221</t>
  </si>
  <si>
    <t>李巧云</t>
  </si>
  <si>
    <t>32010719621031123X</t>
  </si>
  <si>
    <t>柏春亭</t>
  </si>
  <si>
    <t>320124196112213261</t>
  </si>
  <si>
    <t>王素芹</t>
  </si>
  <si>
    <t>320124197508073220</t>
  </si>
  <si>
    <t>章晓燕</t>
  </si>
  <si>
    <t>储·盈计划-6个月（180324期）</t>
  </si>
  <si>
    <t>320123198901140045</t>
  </si>
  <si>
    <t>赵静</t>
  </si>
  <si>
    <t>320104198702180811</t>
  </si>
  <si>
    <t>蔡屹</t>
  </si>
  <si>
    <t>320825196310272830</t>
  </si>
  <si>
    <t>李耀武</t>
  </si>
  <si>
    <t>储·盈计划-12个月（年月利0324期）</t>
  </si>
  <si>
    <t>510122197809102366</t>
  </si>
  <si>
    <t>宋红英</t>
  </si>
  <si>
    <t>储·盈计划-24个月（180324期）</t>
  </si>
  <si>
    <t>储·盈计划-3个月（180324期）</t>
  </si>
  <si>
    <t>320113197202092083</t>
  </si>
  <si>
    <t>夏丽玲</t>
  </si>
  <si>
    <t>320112196409130429</t>
  </si>
  <si>
    <t>魏月梅</t>
  </si>
  <si>
    <t>32011219781117044X</t>
  </si>
  <si>
    <t>310102195005294014</t>
  </si>
  <si>
    <t>汪国樑</t>
  </si>
  <si>
    <t>321081197912107528</t>
  </si>
  <si>
    <t>赵砾童</t>
  </si>
  <si>
    <t>储·盈计划-3个月（180325期）</t>
  </si>
  <si>
    <t>310102194802123627</t>
  </si>
  <si>
    <t>徐孝珍</t>
  </si>
  <si>
    <t>320107196007291827</t>
  </si>
  <si>
    <t>王芝兰</t>
  </si>
  <si>
    <t>32011219740326122X</t>
  </si>
  <si>
    <t>320123195607220067</t>
  </si>
  <si>
    <t>李爱华</t>
  </si>
  <si>
    <t>320123198011180221</t>
  </si>
  <si>
    <t>杨霞</t>
  </si>
  <si>
    <t>320112195501091640</t>
  </si>
  <si>
    <t>刘云</t>
  </si>
  <si>
    <t>320123198609043440</t>
  </si>
  <si>
    <t>陶晓玲</t>
  </si>
  <si>
    <t>320122195001270020</t>
  </si>
  <si>
    <t>胡明霞</t>
  </si>
  <si>
    <t>320111196406300430</t>
  </si>
  <si>
    <t>于宝明</t>
  </si>
  <si>
    <t>320124197410250022</t>
  </si>
  <si>
    <t>张书香</t>
  </si>
  <si>
    <t>320123197604080619</t>
  </si>
  <si>
    <t>张红才</t>
  </si>
  <si>
    <t>储·盈计划-24个月（180325期）</t>
  </si>
  <si>
    <t>32011219591208164X</t>
  </si>
  <si>
    <t>张晓晴</t>
  </si>
  <si>
    <t>储·盈计划-12个月（年月利0325期）</t>
  </si>
  <si>
    <t>320124196904233236</t>
  </si>
  <si>
    <t>丁其富</t>
  </si>
  <si>
    <t>320112196901020440</t>
  </si>
  <si>
    <t>310101196612223232</t>
  </si>
  <si>
    <t>宋维新</t>
  </si>
  <si>
    <t>储·盈计划-6个月（180325期）</t>
  </si>
  <si>
    <t>320124198012081627</t>
  </si>
  <si>
    <t>秦玉娣</t>
  </si>
  <si>
    <t>320111197108204429</t>
  </si>
  <si>
    <t>史巧云</t>
  </si>
  <si>
    <t>320114196309201528</t>
  </si>
  <si>
    <t>韦如香</t>
  </si>
  <si>
    <t>320124196512081624</t>
  </si>
  <si>
    <t>储·盈计划-12个月（180326期）</t>
  </si>
  <si>
    <t>320105197005140816</t>
  </si>
  <si>
    <t>李奎</t>
  </si>
  <si>
    <t>320123196911200022</t>
  </si>
  <si>
    <t>马爱琴</t>
  </si>
  <si>
    <t>320111194409283219</t>
  </si>
  <si>
    <t>张明仁</t>
  </si>
  <si>
    <t>320123197305304029</t>
  </si>
  <si>
    <t>320523195408050466</t>
  </si>
  <si>
    <t>陈六妹</t>
  </si>
  <si>
    <t>320113196203283610</t>
  </si>
  <si>
    <t>钱宏贵</t>
  </si>
  <si>
    <t>320112195803271663</t>
  </si>
  <si>
    <t>张桂林</t>
  </si>
  <si>
    <t>320122196007080046</t>
  </si>
  <si>
    <t>33252219730823386X</t>
  </si>
  <si>
    <t>季爱芬</t>
  </si>
  <si>
    <t>310101196203013680</t>
  </si>
  <si>
    <t>陈丽敏</t>
  </si>
  <si>
    <t>320111196109043618</t>
  </si>
  <si>
    <t>王成贵</t>
  </si>
  <si>
    <t>320121197907284122</t>
  </si>
  <si>
    <t>袁雪燕</t>
  </si>
  <si>
    <t>310103198407184061</t>
  </si>
  <si>
    <t>320111196405210468</t>
  </si>
  <si>
    <t>郑庆珍</t>
  </si>
  <si>
    <t>320123196904240843</t>
  </si>
  <si>
    <t>张秀兰</t>
  </si>
  <si>
    <t>320111196502270024</t>
  </si>
  <si>
    <t>320123197309215023</t>
  </si>
  <si>
    <t>卢秋新</t>
  </si>
  <si>
    <t>320124198004231621</t>
  </si>
  <si>
    <t>徐春华</t>
  </si>
  <si>
    <t>320123195503090210</t>
  </si>
  <si>
    <t>邵有良</t>
  </si>
  <si>
    <t>320112196512271625</t>
  </si>
  <si>
    <t>贺映飞</t>
  </si>
  <si>
    <t>320122196206210819</t>
  </si>
  <si>
    <t>陈法喜</t>
  </si>
  <si>
    <t>月月佳</t>
  </si>
  <si>
    <t>320123196712240427</t>
  </si>
  <si>
    <t>冯秀梅</t>
  </si>
  <si>
    <t>320121198910104529</t>
  </si>
  <si>
    <t>阙慧</t>
  </si>
  <si>
    <t>310104195007090835</t>
  </si>
  <si>
    <t>王德铭</t>
  </si>
  <si>
    <t>32010519771016141x</t>
  </si>
  <si>
    <t>320683198011249368</t>
  </si>
  <si>
    <t>袁海艳</t>
  </si>
  <si>
    <t>310104198702222426</t>
  </si>
  <si>
    <t>蔡秀银</t>
  </si>
  <si>
    <t>320112195707140022</t>
  </si>
  <si>
    <t>汪爱琴</t>
  </si>
  <si>
    <t>632126197808151259</t>
  </si>
  <si>
    <t>11010519390116611X</t>
  </si>
  <si>
    <t>朱鑫根</t>
  </si>
  <si>
    <t>320112197510311624</t>
  </si>
  <si>
    <t>达明慧</t>
  </si>
  <si>
    <t>月月赚(170109期)</t>
  </si>
  <si>
    <t>370305196511281529</t>
  </si>
  <si>
    <t>田华</t>
  </si>
  <si>
    <t>月月赚(170416期)</t>
  </si>
  <si>
    <t>320113195705052025</t>
  </si>
  <si>
    <t>沈琴霞</t>
  </si>
  <si>
    <t>320830196911080667</t>
  </si>
  <si>
    <t>朱新兰</t>
  </si>
  <si>
    <t>月月赚(170215期)</t>
  </si>
  <si>
    <t>310103195909221682</t>
  </si>
  <si>
    <t>周秀芳</t>
  </si>
  <si>
    <t>月月赚尝鲜(02期)</t>
  </si>
  <si>
    <t>310108196701094414</t>
  </si>
  <si>
    <t>张寄托</t>
  </si>
  <si>
    <t>月月赚(170110期)</t>
  </si>
  <si>
    <t>522526198606181426</t>
  </si>
  <si>
    <t>朱庚娟</t>
  </si>
  <si>
    <t>月月赚(170208期)</t>
  </si>
  <si>
    <t>月月赚(170316期)</t>
  </si>
  <si>
    <t>32092219860816036X</t>
  </si>
  <si>
    <t>李媛婷</t>
  </si>
  <si>
    <t>月月赚(170508期)</t>
  </si>
  <si>
    <t>320121199409303529</t>
  </si>
  <si>
    <t>章慧</t>
  </si>
  <si>
    <t>月月赚(170102期)</t>
  </si>
  <si>
    <t>320623198502102364</t>
  </si>
  <si>
    <t>秦媛媛</t>
  </si>
  <si>
    <t>32010319760430201X</t>
  </si>
  <si>
    <t>汪东</t>
  </si>
  <si>
    <t>月月赚(170202期)</t>
  </si>
  <si>
    <t>320112197307100020</t>
  </si>
  <si>
    <t>王霞</t>
  </si>
  <si>
    <t>月月赚(170423期)</t>
  </si>
  <si>
    <t>月月赚(170206期)</t>
  </si>
  <si>
    <t>月月赚(170218期)</t>
  </si>
  <si>
    <t>310107196901205047</t>
  </si>
  <si>
    <t>张伟萍</t>
  </si>
  <si>
    <t>月月赚(170225期)</t>
  </si>
  <si>
    <t>月月赚(170507期)</t>
  </si>
  <si>
    <t>320112195004061619</t>
  </si>
  <si>
    <t>朱良文</t>
  </si>
  <si>
    <t>新手赚(170512期)</t>
  </si>
  <si>
    <t>月月赚(170201期)</t>
  </si>
  <si>
    <t>月月赚(170331期)</t>
  </si>
  <si>
    <t>320504198307284022</t>
  </si>
  <si>
    <t>王优</t>
  </si>
  <si>
    <t>月月赚(170317期)</t>
  </si>
  <si>
    <t>月月赚(170418期)</t>
  </si>
  <si>
    <t>月月赚(170512期)</t>
  </si>
  <si>
    <t>320106195912161220</t>
  </si>
  <si>
    <t>杨毅</t>
  </si>
  <si>
    <t>月月赚(170403期)</t>
  </si>
  <si>
    <t>321121196711090349</t>
  </si>
  <si>
    <t>朱莉华</t>
  </si>
  <si>
    <t>月月赚(170122期)</t>
  </si>
  <si>
    <t>月月赚(170514期)</t>
  </si>
  <si>
    <t>630105197804080621</t>
  </si>
  <si>
    <t>刘翠年</t>
  </si>
  <si>
    <t>月月赚(17032)期)</t>
  </si>
  <si>
    <t>月月赚(170329期)</t>
  </si>
  <si>
    <t>632822197801010042</t>
  </si>
  <si>
    <t>邢珍</t>
  </si>
  <si>
    <t>月月赚(170334期)</t>
  </si>
  <si>
    <t>32010619680619201X</t>
  </si>
  <si>
    <t>王卫东</t>
  </si>
  <si>
    <t>月月赚(170328期)</t>
  </si>
  <si>
    <t>320124198907162284</t>
  </si>
  <si>
    <t>卞红玉</t>
  </si>
  <si>
    <t>月月赚(170210期)</t>
  </si>
  <si>
    <t>月月赚(170103期)</t>
  </si>
  <si>
    <t>月月赚(170118期)</t>
  </si>
  <si>
    <t>月月赚(170309期)</t>
  </si>
  <si>
    <t>月月赚(170401期)</t>
  </si>
  <si>
    <t>32011219460527042X</t>
  </si>
  <si>
    <t>唐开璇</t>
  </si>
  <si>
    <t>月月赚(170511期)</t>
  </si>
  <si>
    <t>320122195904243621</t>
  </si>
  <si>
    <t>吴国珍</t>
  </si>
  <si>
    <t>月月赚(170509期)</t>
  </si>
  <si>
    <t>522701195710183368</t>
  </si>
  <si>
    <t>彭顺华</t>
  </si>
  <si>
    <t>月月赚(170221期)</t>
  </si>
  <si>
    <t>32012319630620042X</t>
  </si>
  <si>
    <t>丁晓蓉</t>
  </si>
  <si>
    <t>月月赚(170105期)</t>
  </si>
  <si>
    <t>320123199006053425</t>
  </si>
  <si>
    <t>陈宝凤</t>
  </si>
  <si>
    <t>320123197311253432</t>
  </si>
  <si>
    <t>汤永辉</t>
  </si>
  <si>
    <t>32012319710923342X</t>
  </si>
  <si>
    <t>张梅红</t>
  </si>
  <si>
    <t>320123197903023825</t>
  </si>
  <si>
    <t>赵荷花</t>
  </si>
  <si>
    <t>月月赚(170217期)</t>
  </si>
  <si>
    <t>320123195302120217</t>
  </si>
  <si>
    <t>罗会亭</t>
  </si>
  <si>
    <t>月月赚(170503期)</t>
  </si>
  <si>
    <t>320106195605192828</t>
  </si>
  <si>
    <t>张美兰</t>
  </si>
  <si>
    <t>半年赚(170306期)</t>
  </si>
  <si>
    <t>刘雪桦</t>
  </si>
  <si>
    <t>320102198101072425</t>
  </si>
  <si>
    <t>王婷</t>
  </si>
  <si>
    <t>632801198104100520</t>
  </si>
  <si>
    <t>何育花</t>
  </si>
  <si>
    <t>月月赚(170116期)</t>
  </si>
  <si>
    <t>320112197206050423</t>
  </si>
  <si>
    <t>郭园</t>
  </si>
  <si>
    <t>月月赚(170219期)</t>
  </si>
  <si>
    <t>月月赚(170325期)</t>
  </si>
  <si>
    <t>月月赚(170406期)</t>
  </si>
  <si>
    <t>320124196007132427</t>
  </si>
  <si>
    <t>陆锡英</t>
  </si>
  <si>
    <t>月月赚(170312期)</t>
  </si>
  <si>
    <t>月月赚(170402期)</t>
  </si>
  <si>
    <t>320111197901074826</t>
  </si>
  <si>
    <t>张艳</t>
  </si>
  <si>
    <t>月月赚(170111期)</t>
  </si>
  <si>
    <t>320123197412140023</t>
  </si>
  <si>
    <t>月月赚(170421期)</t>
  </si>
  <si>
    <t>月月赚(170222期)</t>
  </si>
  <si>
    <t>320104196809110849</t>
  </si>
  <si>
    <t>王冶琴</t>
  </si>
  <si>
    <t>320104196303282088</t>
  </si>
  <si>
    <t>鲁道芳</t>
  </si>
  <si>
    <t>半年赚(170319期)</t>
  </si>
  <si>
    <t>月月赚(170411期)</t>
  </si>
  <si>
    <t>月月赚(170415期)</t>
  </si>
  <si>
    <t>420623196607133540</t>
  </si>
  <si>
    <t>王莉</t>
  </si>
  <si>
    <t>月月赚(170121期)</t>
  </si>
  <si>
    <t>320123197404051506</t>
  </si>
  <si>
    <t>黄自香</t>
  </si>
  <si>
    <t>320123197410010049</t>
  </si>
  <si>
    <t>王静</t>
  </si>
  <si>
    <t>月月赚(170120期)</t>
  </si>
  <si>
    <t>半年赚(170310期)</t>
  </si>
  <si>
    <t>310103194812223249</t>
  </si>
  <si>
    <t>纪冬青</t>
  </si>
  <si>
    <t>月月赚(170330期)</t>
  </si>
  <si>
    <t>月月赚(170318期)</t>
  </si>
  <si>
    <t>310110195108080422</t>
  </si>
  <si>
    <t>王兰桂</t>
  </si>
  <si>
    <t>月月赚(170212期)</t>
  </si>
  <si>
    <t>310104196811084414</t>
  </si>
  <si>
    <t>虞喆</t>
  </si>
  <si>
    <t>320121197302180929</t>
  </si>
  <si>
    <t>谢文静</t>
  </si>
  <si>
    <t>月月赚(170216期)</t>
  </si>
  <si>
    <t>月月赚(170108期)</t>
  </si>
  <si>
    <t>月月赚(170302期)</t>
  </si>
  <si>
    <t>612323197904125024</t>
  </si>
  <si>
    <t>杨雅如</t>
  </si>
  <si>
    <t>半年赚(170315期)</t>
  </si>
  <si>
    <t>342901197210055649</t>
  </si>
  <si>
    <t>王春桃</t>
  </si>
  <si>
    <t>半年赚(170329期)</t>
  </si>
  <si>
    <t>320103196411090781</t>
  </si>
  <si>
    <t>闻娣娣</t>
  </si>
  <si>
    <t>月月赚(170407期)</t>
  </si>
  <si>
    <t>月月赚(170504期)</t>
  </si>
  <si>
    <t>月月赚(170112期)</t>
  </si>
  <si>
    <t>月月赚(170226期)</t>
  </si>
  <si>
    <t>320124197807131427</t>
  </si>
  <si>
    <t>孙安芳</t>
  </si>
  <si>
    <t>月月赚(170207期)</t>
  </si>
  <si>
    <t>月月赚(170223期)</t>
  </si>
  <si>
    <t>34082619750902082X</t>
  </si>
  <si>
    <t>聂鲜花</t>
  </si>
  <si>
    <t>320825197908100667</t>
  </si>
  <si>
    <t>王敏</t>
  </si>
  <si>
    <t>月月赚(170513期)</t>
  </si>
  <si>
    <t>340221197808280520</t>
  </si>
  <si>
    <t>周自静</t>
  </si>
  <si>
    <t>月月赚(170408期)</t>
  </si>
  <si>
    <t>320112197712230013</t>
  </si>
  <si>
    <t>周国栋</t>
  </si>
  <si>
    <t>320112196807030423</t>
  </si>
  <si>
    <t>吴红岩</t>
  </si>
  <si>
    <t>320123197512141429</t>
  </si>
  <si>
    <t>魏广琴</t>
  </si>
  <si>
    <t>月月赚(170319期)</t>
  </si>
  <si>
    <t>320124196603122225</t>
  </si>
  <si>
    <t>赵亲妹</t>
  </si>
  <si>
    <t>320112197512160428</t>
  </si>
  <si>
    <t>顾瑜静</t>
  </si>
  <si>
    <t>342201198511022484</t>
  </si>
  <si>
    <t>潘方方</t>
  </si>
  <si>
    <t>月月赚(170502期)</t>
  </si>
  <si>
    <t>320112195212080427</t>
  </si>
  <si>
    <t>戴峥</t>
  </si>
  <si>
    <t>632802199112200522</t>
  </si>
  <si>
    <t>谷淑芳</t>
  </si>
  <si>
    <t>月月赚(170306期)</t>
  </si>
  <si>
    <t>320112195506211621</t>
  </si>
  <si>
    <t>李书霞</t>
  </si>
  <si>
    <t>32083019790522362X</t>
  </si>
  <si>
    <t>丁银霞</t>
  </si>
  <si>
    <t>321002197008025529</t>
  </si>
  <si>
    <t>姚正和</t>
  </si>
  <si>
    <t>320124197703223220</t>
  </si>
  <si>
    <t>王红霞</t>
  </si>
  <si>
    <t>320123197808011447</t>
  </si>
  <si>
    <t>陈明琴</t>
  </si>
  <si>
    <t>320121198001211132</t>
  </si>
  <si>
    <t>张勇</t>
  </si>
  <si>
    <t>新手赚(170406期)</t>
  </si>
  <si>
    <t>320324198612236267</t>
  </si>
  <si>
    <t>陆月红</t>
  </si>
  <si>
    <t>321123197008075515</t>
  </si>
  <si>
    <t>经言成</t>
  </si>
  <si>
    <t>新手赚(170403期)</t>
  </si>
  <si>
    <t>320421196903074111</t>
  </si>
  <si>
    <t>戴春林</t>
  </si>
  <si>
    <t>320112197004090419</t>
  </si>
  <si>
    <t>杜春晓</t>
  </si>
  <si>
    <t>月月赚(170505期)</t>
  </si>
  <si>
    <t>341102198304222416</t>
  </si>
  <si>
    <t>范永恒</t>
  </si>
  <si>
    <t>321324198310024446</t>
  </si>
  <si>
    <t>许红花</t>
  </si>
  <si>
    <t>321123197802037321</t>
  </si>
  <si>
    <t>陈华</t>
  </si>
  <si>
    <t>月月赚(170220期)</t>
  </si>
  <si>
    <t>320103196106101763</t>
  </si>
  <si>
    <t>邹坚雯</t>
  </si>
  <si>
    <t>月月赚(170310期)</t>
  </si>
  <si>
    <t>610424197308153205</t>
  </si>
  <si>
    <t>赵亚亚</t>
  </si>
  <si>
    <t>新手赚(170315期)</t>
  </si>
  <si>
    <t>320112197107150023</t>
  </si>
  <si>
    <t>郑静</t>
  </si>
  <si>
    <t>月月赚(170414期)</t>
  </si>
  <si>
    <t>320304196202244024</t>
  </si>
  <si>
    <t>邓效荣</t>
  </si>
  <si>
    <t>新手赚(170505期)</t>
  </si>
  <si>
    <t>342626198307026428</t>
  </si>
  <si>
    <t>倪庆霞</t>
  </si>
  <si>
    <t>月月赚(170510期)</t>
  </si>
  <si>
    <t>320122197911040426</t>
  </si>
  <si>
    <t>叶万香</t>
  </si>
  <si>
    <t>320122198611280422</t>
  </si>
  <si>
    <t>刘广红</t>
  </si>
  <si>
    <t>新手赚(170313期)</t>
  </si>
  <si>
    <t>320107198204103433</t>
  </si>
  <si>
    <t>刘广明</t>
  </si>
  <si>
    <t>320122195603012010</t>
  </si>
  <si>
    <t>刘德有</t>
  </si>
  <si>
    <t>半年赚(170311期)</t>
  </si>
  <si>
    <t>320123196801115089</t>
  </si>
  <si>
    <t>王菊香</t>
  </si>
  <si>
    <t>新手赚(170419期)</t>
  </si>
  <si>
    <t>610628198812050062</t>
  </si>
  <si>
    <t>罗丹</t>
  </si>
  <si>
    <t>新手赚(170407期)</t>
  </si>
  <si>
    <t>310108196101304422</t>
  </si>
  <si>
    <t>肖琴</t>
  </si>
  <si>
    <t>月月赚(170404期)</t>
  </si>
  <si>
    <t>320111196707310413</t>
  </si>
  <si>
    <t>杨远友</t>
  </si>
  <si>
    <t>新手赚</t>
  </si>
  <si>
    <t>632222198106010026</t>
  </si>
  <si>
    <t>张小静</t>
  </si>
  <si>
    <t>新手赚(170509期)</t>
  </si>
  <si>
    <t>320882198507263627</t>
  </si>
  <si>
    <t>陈慧</t>
  </si>
  <si>
    <t>新手赚(170405期)</t>
  </si>
  <si>
    <t>341103197810051623</t>
  </si>
  <si>
    <t>张书梅</t>
  </si>
  <si>
    <t>月月赚(170420期)</t>
  </si>
  <si>
    <t>110108196611082252</t>
  </si>
  <si>
    <t>李新</t>
  </si>
  <si>
    <t>342201197611211237</t>
  </si>
  <si>
    <t>彭亮</t>
  </si>
  <si>
    <t>月月赚(170424期)</t>
  </si>
  <si>
    <t>512501197703091648</t>
  </si>
  <si>
    <t>费玉</t>
  </si>
  <si>
    <t>320115198905101561</t>
  </si>
  <si>
    <t>贾瑞芳</t>
  </si>
  <si>
    <t>月月赚</t>
  </si>
  <si>
    <t>63222219770826001x</t>
  </si>
  <si>
    <t>张斌</t>
  </si>
  <si>
    <t>320122198305172810</t>
  </si>
  <si>
    <t>滕宏亮</t>
  </si>
  <si>
    <t>合同到期日</t>
  </si>
  <si>
    <t>划扣日期</t>
  </si>
  <si>
    <t>申请日期</t>
  </si>
  <si>
    <t>511011197603012644</t>
  </si>
  <si>
    <t>廖后英</t>
  </si>
  <si>
    <t>储·盈计划-3个月（180401期）</t>
  </si>
  <si>
    <t>320104196310231625</t>
  </si>
  <si>
    <t>葛秀风</t>
  </si>
  <si>
    <t>320123196104163413</t>
  </si>
  <si>
    <t>李继友</t>
  </si>
  <si>
    <t>320121197801054126</t>
  </si>
  <si>
    <t>沈冬琴</t>
  </si>
  <si>
    <t>储·盈计划-6个月（180401期）</t>
  </si>
  <si>
    <t>320111196810210445</t>
  </si>
  <si>
    <t>李翠玲</t>
  </si>
  <si>
    <t>320112197612250412</t>
  </si>
  <si>
    <t>陈翔</t>
  </si>
  <si>
    <t>511225198203295802</t>
  </si>
  <si>
    <t>马翠兰</t>
  </si>
  <si>
    <t>320112195710120452</t>
  </si>
  <si>
    <t>贾德高</t>
  </si>
  <si>
    <t>储·盈计划-12个月（180401期）</t>
  </si>
  <si>
    <t>320122196008080830</t>
  </si>
  <si>
    <t>周德良</t>
  </si>
  <si>
    <t>320121196411272166</t>
  </si>
  <si>
    <t>梁中香</t>
  </si>
  <si>
    <t>320123196208124646</t>
  </si>
  <si>
    <t>石云</t>
  </si>
  <si>
    <t>320124198712090612</t>
  </si>
  <si>
    <t>320124197006170020</t>
  </si>
  <si>
    <t>邱凌</t>
  </si>
  <si>
    <t>季瑞英</t>
  </si>
  <si>
    <t>13675151313</t>
  </si>
  <si>
    <t>15358127667</t>
  </si>
  <si>
    <t>13815886230</t>
  </si>
  <si>
    <t>15951827167</t>
  </si>
  <si>
    <t>13913007969</t>
  </si>
  <si>
    <t>13776621461</t>
  </si>
  <si>
    <t>13222780350</t>
  </si>
  <si>
    <t>15951816699</t>
  </si>
  <si>
    <t>13705190909</t>
  </si>
  <si>
    <t>13611560440</t>
  </si>
  <si>
    <t>13951993563</t>
  </si>
  <si>
    <t>13814182238</t>
  </si>
  <si>
    <t>13921410763</t>
  </si>
  <si>
    <t>15371389998</t>
  </si>
  <si>
    <t>15509796387</t>
  </si>
  <si>
    <t>18913919887</t>
  </si>
  <si>
    <t>13485054280</t>
  </si>
  <si>
    <t>13770575024</t>
  </si>
  <si>
    <t>13897489472</t>
  </si>
  <si>
    <t>13099764662</t>
  </si>
  <si>
    <t>13057683965</t>
  </si>
  <si>
    <t>15295721195</t>
  </si>
  <si>
    <t>13022577091</t>
  </si>
  <si>
    <t>13512532835</t>
  </si>
  <si>
    <t>13390797589</t>
  </si>
  <si>
    <t>15850721726</t>
  </si>
  <si>
    <t>13512548379</t>
  </si>
  <si>
    <t>13776517322</t>
  </si>
  <si>
    <t>15951628232</t>
  </si>
  <si>
    <t>13955135765</t>
  </si>
  <si>
    <t>15850700700</t>
  </si>
  <si>
    <t>13770887174</t>
  </si>
  <si>
    <t>13813022996</t>
  </si>
  <si>
    <t>15077899194</t>
  </si>
  <si>
    <t>18651699931</t>
  </si>
  <si>
    <t>13851988755</t>
  </si>
  <si>
    <t>13913952112</t>
  </si>
  <si>
    <t>13897067774</t>
  </si>
  <si>
    <t>13814055936</t>
  </si>
  <si>
    <t>13913875958</t>
  </si>
  <si>
    <t>13222013895</t>
  </si>
  <si>
    <t>18951840752</t>
  </si>
  <si>
    <t>15996448430</t>
  </si>
  <si>
    <t>15951937415</t>
  </si>
  <si>
    <t>13952031570</t>
  </si>
  <si>
    <t>13701580085</t>
  </si>
  <si>
    <t>18951816972</t>
  </si>
  <si>
    <t>13997326799</t>
  </si>
  <si>
    <t>15261882030</t>
  </si>
  <si>
    <t>13372039410</t>
  </si>
  <si>
    <t>18913022518</t>
  </si>
  <si>
    <t>13851882163</t>
  </si>
  <si>
    <t>13813850146</t>
  </si>
  <si>
    <t>18091610275</t>
  </si>
  <si>
    <t>15205168300</t>
  </si>
  <si>
    <t>13897256782</t>
  </si>
  <si>
    <t>13951825739</t>
  </si>
  <si>
    <t>13770856167</t>
  </si>
  <si>
    <t>13605144973</t>
  </si>
  <si>
    <t>17702505917</t>
  </si>
  <si>
    <t>13655165543</t>
  </si>
  <si>
    <t>13913365477</t>
  </si>
  <si>
    <t>13952086084</t>
  </si>
  <si>
    <t>15951019287</t>
  </si>
  <si>
    <t>15151801209</t>
  </si>
  <si>
    <t>13851795642</t>
  </si>
  <si>
    <t>13349191637</t>
  </si>
  <si>
    <t>13813874435</t>
  </si>
  <si>
    <t>13776510709</t>
  </si>
  <si>
    <t>13770882610</t>
  </si>
  <si>
    <t>13913364189</t>
  </si>
  <si>
    <t>13770586232</t>
  </si>
  <si>
    <t>13357727911</t>
  </si>
  <si>
    <t>13813956923</t>
  </si>
  <si>
    <t>13770523786</t>
  </si>
  <si>
    <t>13897086980</t>
  </si>
  <si>
    <t>13196869059</t>
  </si>
  <si>
    <t>13851503802</t>
  </si>
  <si>
    <t>13665299461</t>
  </si>
  <si>
    <t>15189365778</t>
  </si>
  <si>
    <t>15951026322</t>
  </si>
  <si>
    <t>13376072417</t>
  </si>
  <si>
    <t>18913808055</t>
  </si>
  <si>
    <t>13280355185</t>
  </si>
  <si>
    <t>13815167178</t>
  </si>
  <si>
    <t>13861293533</t>
  </si>
  <si>
    <t>18913024438</t>
  </si>
  <si>
    <t>18061223739</t>
  </si>
  <si>
    <t>18261949269</t>
  </si>
  <si>
    <t>13776541128</t>
  </si>
  <si>
    <t>13770339445</t>
  </si>
  <si>
    <t>15951620112</t>
  </si>
  <si>
    <t>13002578720</t>
  </si>
  <si>
    <t>15062113886</t>
  </si>
  <si>
    <t>13851762280</t>
  </si>
  <si>
    <t>13905190608</t>
  </si>
  <si>
    <t>13675162668</t>
  </si>
  <si>
    <t>13815892334</t>
  </si>
  <si>
    <t>13813990279</t>
  </si>
  <si>
    <t>13655167196</t>
  </si>
  <si>
    <t>13913325467</t>
  </si>
  <si>
    <t>17601568409</t>
  </si>
  <si>
    <t>13761381765</t>
  </si>
  <si>
    <t>13512516703</t>
  </si>
  <si>
    <t>13897306856</t>
  </si>
  <si>
    <t>15195315218</t>
  </si>
  <si>
    <t>15895965538</t>
  </si>
  <si>
    <t>13809043990</t>
  </si>
  <si>
    <t>13035009999</t>
  </si>
  <si>
    <t>15251749315</t>
  </si>
  <si>
    <t>15150597270</t>
  </si>
  <si>
    <t>13851479630</t>
  </si>
  <si>
    <t>13897306867</t>
  </si>
  <si>
    <t>15951670073</t>
  </si>
  <si>
    <t>13951685502</t>
  </si>
  <si>
    <t>13372026772</t>
  </si>
  <si>
    <t>13451805729</t>
  </si>
  <si>
    <t>15951626391</t>
  </si>
  <si>
    <t>13814067912</t>
  </si>
  <si>
    <t>13675177775</t>
  </si>
  <si>
    <t>13951935545</t>
  </si>
  <si>
    <t>13851714772</t>
  </si>
  <si>
    <t>15996331395</t>
  </si>
  <si>
    <t>18795819536</t>
  </si>
  <si>
    <t>13912937634</t>
  </si>
  <si>
    <t>13952019158</t>
  </si>
  <si>
    <t>13814139898</t>
  </si>
  <si>
    <t>13931397550</t>
  </si>
  <si>
    <t>13372007979</t>
  </si>
  <si>
    <t>15951776189</t>
  </si>
  <si>
    <t>15951841211</t>
  </si>
  <si>
    <t>15295700239</t>
  </si>
  <si>
    <t>13913031507</t>
  </si>
  <si>
    <t>13814183690</t>
  </si>
  <si>
    <t>13770504012</t>
  </si>
  <si>
    <t>15190468429</t>
  </si>
  <si>
    <t>15996334279</t>
  </si>
  <si>
    <t>18761658049</t>
  </si>
  <si>
    <t>15852902409</t>
  </si>
  <si>
    <t>18651907806</t>
  </si>
  <si>
    <t>13585156529</t>
  </si>
  <si>
    <t>13952003230</t>
  </si>
  <si>
    <t>13951005268</t>
  </si>
  <si>
    <t>13912955200</t>
  </si>
  <si>
    <t>13404113473</t>
  </si>
  <si>
    <t>18005508399</t>
  </si>
  <si>
    <t>13915901226</t>
  </si>
  <si>
    <t>18913031179</t>
  </si>
  <si>
    <t>13073417190</t>
  </si>
  <si>
    <t>15371021435</t>
  </si>
  <si>
    <t>15062292118</t>
  </si>
  <si>
    <t>13951705329</t>
  </si>
  <si>
    <t>15952079352</t>
  </si>
  <si>
    <t>15597691718</t>
  </si>
  <si>
    <t>13182952089</t>
  </si>
  <si>
    <t>15895819428</t>
  </si>
  <si>
    <t>13814509625</t>
  </si>
  <si>
    <t>13951953324</t>
  </si>
  <si>
    <t>15951826072</t>
  </si>
  <si>
    <t>13951730817</t>
  </si>
  <si>
    <t>13851943962</t>
  </si>
  <si>
    <t>13401961374</t>
  </si>
  <si>
    <t>15951685282</t>
  </si>
  <si>
    <t>13048584943</t>
  </si>
  <si>
    <t>18261923378</t>
  </si>
  <si>
    <t>17327985446</t>
  </si>
  <si>
    <t>13809033112</t>
  </si>
  <si>
    <t>13813833288</t>
  </si>
  <si>
    <t>18652082867</t>
  </si>
  <si>
    <t>18021531312</t>
  </si>
  <si>
    <t>13101899169</t>
  </si>
  <si>
    <t>13382020539</t>
  </si>
  <si>
    <t>13851682134</t>
  </si>
  <si>
    <t>18061464900</t>
  </si>
  <si>
    <t>15651803659</t>
  </si>
  <si>
    <t>18012978262</t>
  </si>
  <si>
    <t>18115167518</t>
  </si>
  <si>
    <t>13814176860</t>
  </si>
  <si>
    <t>18013352274</t>
  </si>
  <si>
    <t>13813902798</t>
  </si>
  <si>
    <t>13182911411</t>
  </si>
  <si>
    <t>13705140585</t>
  </si>
  <si>
    <t>17712421980</t>
  </si>
  <si>
    <t>18751926309</t>
  </si>
  <si>
    <t>13915992149</t>
  </si>
  <si>
    <t>15996322061</t>
  </si>
  <si>
    <t>13914794080</t>
  </si>
  <si>
    <t>13851576690</t>
  </si>
  <si>
    <t>15077898452</t>
  </si>
  <si>
    <t>13851972877</t>
  </si>
  <si>
    <t>13814185997</t>
  </si>
  <si>
    <t>13773415261</t>
  </si>
  <si>
    <t>18752064795</t>
  </si>
  <si>
    <t>13073438990</t>
  </si>
  <si>
    <t>15850700421</t>
  </si>
  <si>
    <t>15189819650</t>
  </si>
  <si>
    <t>15151895003</t>
  </si>
  <si>
    <t>18013032211</t>
  </si>
  <si>
    <t>13451803878</t>
  </si>
  <si>
    <t>18551782231</t>
  </si>
  <si>
    <t>15850514720</t>
  </si>
  <si>
    <t>13260799491</t>
  </si>
  <si>
    <t>13815416521</t>
  </si>
  <si>
    <t>18912927016</t>
  </si>
  <si>
    <t>13770811485</t>
  </si>
  <si>
    <t>13955208328</t>
  </si>
  <si>
    <t>13852288561</t>
  </si>
  <si>
    <t>13072518667</t>
  </si>
  <si>
    <t>13913313576</t>
  </si>
  <si>
    <t>15726699868</t>
  </si>
  <si>
    <t>13222738704</t>
  </si>
  <si>
    <t>13815878623</t>
  </si>
  <si>
    <t>13645166488</t>
  </si>
  <si>
    <t>13002514560</t>
  </si>
  <si>
    <t>18021543791</t>
  </si>
  <si>
    <t>15151898890</t>
  </si>
  <si>
    <t>13770711086</t>
  </si>
  <si>
    <t>13851509511</t>
  </si>
  <si>
    <t>13915605192</t>
  </si>
  <si>
    <t>15895817569</t>
  </si>
  <si>
    <t>13390751303</t>
  </si>
  <si>
    <t>15850706501</t>
  </si>
  <si>
    <t>18912932798</t>
  </si>
  <si>
    <t>13851769774</t>
  </si>
  <si>
    <t>13914492047</t>
  </si>
  <si>
    <t>13914451718</t>
  </si>
  <si>
    <t>15651800299</t>
  </si>
  <si>
    <t>15051829522</t>
  </si>
  <si>
    <t>13405888250</t>
  </si>
  <si>
    <t>13675147316</t>
  </si>
  <si>
    <t>13276603166</t>
  </si>
  <si>
    <t>15996339951</t>
  </si>
  <si>
    <t>13951070665</t>
  </si>
  <si>
    <t>13813353006</t>
  </si>
  <si>
    <t>15152670005</t>
  </si>
  <si>
    <t>15951720027</t>
  </si>
  <si>
    <t>13851906933</t>
  </si>
  <si>
    <t>13851841830</t>
  </si>
  <si>
    <t>17826046351</t>
  </si>
  <si>
    <t>13852281310</t>
  </si>
  <si>
    <t>18052051336</t>
  </si>
  <si>
    <t>15651807099</t>
  </si>
  <si>
    <t>13951907704</t>
  </si>
  <si>
    <t>15805145805</t>
  </si>
  <si>
    <t>13805149410</t>
  </si>
  <si>
    <t>13337732396</t>
  </si>
  <si>
    <t>18851012867</t>
  </si>
  <si>
    <t>15921832158</t>
  </si>
  <si>
    <t>13813037769</t>
  </si>
  <si>
    <t>13260950996</t>
  </si>
  <si>
    <t>15851826267</t>
  </si>
  <si>
    <t>15005182352</t>
  </si>
  <si>
    <t>18061287126</t>
  </si>
  <si>
    <t>13813024422</t>
  </si>
  <si>
    <t>13770813381</t>
  </si>
  <si>
    <t>13914458705</t>
  </si>
  <si>
    <t>18912902108</t>
  </si>
  <si>
    <t>18651603264</t>
  </si>
  <si>
    <t>15850762441</t>
  </si>
  <si>
    <t>15195796697</t>
  </si>
  <si>
    <t>18914451597</t>
  </si>
  <si>
    <t>13260765555</t>
  </si>
  <si>
    <t>13912938836</t>
  </si>
  <si>
    <t>15251798621</t>
  </si>
  <si>
    <t>13655164490</t>
  </si>
  <si>
    <t>13912916950</t>
  </si>
  <si>
    <t>15195822575</t>
  </si>
  <si>
    <t>13951714570</t>
  </si>
  <si>
    <t>13072501104</t>
  </si>
  <si>
    <t>18052038062</t>
  </si>
  <si>
    <t>13776514380</t>
  </si>
  <si>
    <t>13815449367</t>
  </si>
  <si>
    <t>18913824182</t>
  </si>
  <si>
    <t>15951024188</t>
  </si>
  <si>
    <t>15951600417</t>
  </si>
  <si>
    <t>13222035831</t>
  </si>
  <si>
    <t>18913007835</t>
  </si>
  <si>
    <t>15365062577</t>
  </si>
  <si>
    <t>15150626052</t>
  </si>
  <si>
    <t>18761615096</t>
  </si>
  <si>
    <t>13770901144</t>
  </si>
  <si>
    <t>13776670371</t>
  </si>
  <si>
    <t>13812166355</t>
  </si>
  <si>
    <t>13813014821</t>
  </si>
  <si>
    <t>13151597262</t>
  </si>
  <si>
    <t>15062293205</t>
  </si>
  <si>
    <t>13115016117</t>
  </si>
  <si>
    <t>15051823709</t>
  </si>
  <si>
    <t>13851660246</t>
  </si>
  <si>
    <t>13701583218</t>
  </si>
  <si>
    <t>15715174993</t>
  </si>
  <si>
    <t>15365043185</t>
  </si>
  <si>
    <t>18952035667</t>
  </si>
  <si>
    <t>13732426323</t>
  </si>
  <si>
    <t>13913329055</t>
  </si>
  <si>
    <t>17366398520</t>
  </si>
  <si>
    <t>17374418936</t>
  </si>
  <si>
    <t>18795802997</t>
  </si>
  <si>
    <t>15996443349</t>
  </si>
  <si>
    <t>15309706667</t>
  </si>
  <si>
    <t>15850646720</t>
  </si>
  <si>
    <t>13913856098</t>
  </si>
  <si>
    <t>18952053071</t>
  </si>
  <si>
    <t>15366017113</t>
  </si>
  <si>
    <t>13913948057</t>
  </si>
  <si>
    <t>15150526093</t>
  </si>
  <si>
    <t>13915959842</t>
  </si>
  <si>
    <t>13770881358</t>
  </si>
  <si>
    <t>13813397997</t>
  </si>
  <si>
    <t>15951770869</t>
  </si>
  <si>
    <t>13851713561</t>
  </si>
  <si>
    <t>15996237526</t>
  </si>
  <si>
    <t>17715278339</t>
  </si>
  <si>
    <t>13645184051</t>
  </si>
  <si>
    <t>13601433846</t>
  </si>
  <si>
    <t>13852283938</t>
  </si>
  <si>
    <t>15195976357</t>
  </si>
  <si>
    <t>13770862917</t>
  </si>
  <si>
    <t>13913301787</t>
  </si>
  <si>
    <t>13915938538</t>
  </si>
  <si>
    <t>13705190380</t>
  </si>
  <si>
    <t>15951671913</t>
  </si>
  <si>
    <t>18951958198</t>
  </si>
  <si>
    <t>13813038194</t>
  </si>
  <si>
    <t>15195909947</t>
  </si>
  <si>
    <t>15150624939</t>
  </si>
  <si>
    <t>18751919152</t>
  </si>
  <si>
    <t>15151866830</t>
  </si>
  <si>
    <t>15996338828</t>
  </si>
  <si>
    <t>17768149062</t>
  </si>
  <si>
    <t>13401990714</t>
  </si>
  <si>
    <t>13814192370</t>
  </si>
  <si>
    <t>13913357784</t>
  </si>
  <si>
    <t>13913931967</t>
  </si>
  <si>
    <t>13951979719</t>
  </si>
  <si>
    <t>15895812142</t>
  </si>
  <si>
    <t>15295751963</t>
  </si>
  <si>
    <t>17368459542</t>
  </si>
  <si>
    <t>13901596408</t>
  </si>
  <si>
    <t>13645168161</t>
  </si>
  <si>
    <t>18952032398</t>
  </si>
  <si>
    <t>13814501072</t>
  </si>
  <si>
    <t>15062298305</t>
  </si>
  <si>
    <t>15295713833</t>
  </si>
  <si>
    <t>13301593299</t>
  </si>
  <si>
    <t>15335185868</t>
  </si>
  <si>
    <t>13770815898</t>
  </si>
  <si>
    <t>13218885019</t>
  </si>
  <si>
    <t>13327701113</t>
  </si>
  <si>
    <t>13951071642</t>
  </si>
  <si>
    <t>15251842416</t>
  </si>
  <si>
    <t>18761815060</t>
  </si>
  <si>
    <t>13951837206</t>
  </si>
  <si>
    <t>13901585773</t>
  </si>
  <si>
    <t>13776513267</t>
  </si>
  <si>
    <t>15074405581</t>
  </si>
  <si>
    <t>13913384144</t>
  </si>
  <si>
    <t>13861372678</t>
  </si>
  <si>
    <t>18261925779</t>
  </si>
  <si>
    <t>15895925386</t>
  </si>
  <si>
    <t>13913353865</t>
  </si>
  <si>
    <t>18952051299</t>
  </si>
  <si>
    <t>18913032069</t>
  </si>
  <si>
    <t>13915908136</t>
  </si>
  <si>
    <t>15295718290</t>
  </si>
  <si>
    <t>13327827400</t>
  </si>
  <si>
    <t>13611509870</t>
  </si>
  <si>
    <t>13372032159</t>
  </si>
  <si>
    <t>15907442420</t>
  </si>
  <si>
    <t>15850708263</t>
  </si>
  <si>
    <t>13705198301</t>
  </si>
  <si>
    <t>18915939154</t>
  </si>
  <si>
    <t>15195926003</t>
  </si>
  <si>
    <t>13584027646</t>
  </si>
  <si>
    <t>18795972705</t>
  </si>
  <si>
    <t>18951649874</t>
  </si>
  <si>
    <t>18651020485</t>
  </si>
  <si>
    <t>15850709300</t>
  </si>
  <si>
    <t>13914453568</t>
  </si>
  <si>
    <t>15850686765</t>
  </si>
  <si>
    <t>15150503094</t>
  </si>
  <si>
    <t>13851581201</t>
  </si>
  <si>
    <t>13915938126</t>
  </si>
  <si>
    <t>18912908293</t>
  </si>
  <si>
    <t>13770803368</t>
  </si>
  <si>
    <t>13611568892</t>
  </si>
  <si>
    <t>15861821087</t>
  </si>
  <si>
    <t>13851499908</t>
  </si>
  <si>
    <t>13813988451</t>
  </si>
  <si>
    <t>13372001077</t>
  </si>
  <si>
    <t>13222067128</t>
  </si>
  <si>
    <t>13770888175</t>
  </si>
  <si>
    <t>18913958032</t>
  </si>
  <si>
    <t>13915904460</t>
  </si>
  <si>
    <t>15852118704</t>
  </si>
  <si>
    <t>15895807412</t>
  </si>
  <si>
    <t>15050577926</t>
  </si>
  <si>
    <t>15996446870</t>
  </si>
  <si>
    <t>13913325820</t>
  </si>
  <si>
    <t>13813020837</t>
  </si>
  <si>
    <t>13961289655</t>
  </si>
  <si>
    <t>13357807661</t>
  </si>
  <si>
    <t>13921421292</t>
  </si>
  <si>
    <t>13805141256</t>
  </si>
  <si>
    <t>13851971728</t>
  </si>
  <si>
    <t>13912930885</t>
  </si>
  <si>
    <t>13327720992</t>
  </si>
  <si>
    <t>15301591521</t>
  </si>
  <si>
    <t>13585156511</t>
  </si>
  <si>
    <t>13851713300</t>
  </si>
  <si>
    <t>15205162870</t>
  </si>
  <si>
    <t>13270745186</t>
  </si>
  <si>
    <t>13770916312</t>
  </si>
  <si>
    <t>13770602181</t>
  </si>
  <si>
    <t>15852890293</t>
  </si>
  <si>
    <t>18861744169</t>
  </si>
  <si>
    <t>13951985492</t>
  </si>
  <si>
    <t>13186408939</t>
  </si>
  <si>
    <t>15895818289</t>
  </si>
  <si>
    <t>15951796998</t>
  </si>
  <si>
    <t>18020116152</t>
  </si>
  <si>
    <t>15951791872</t>
  </si>
  <si>
    <t>15151895524</t>
  </si>
  <si>
    <t>15805147507</t>
  </si>
  <si>
    <t>13952050366</t>
  </si>
  <si>
    <t>13813013839</t>
  </si>
  <si>
    <t>13451804620</t>
  </si>
  <si>
    <t>13770642354</t>
  </si>
  <si>
    <t>15365030213</t>
  </si>
  <si>
    <t>18052039250</t>
  </si>
  <si>
    <t>18915939029</t>
  </si>
  <si>
    <t>13032552092</t>
  </si>
  <si>
    <t>13182919662</t>
  </si>
  <si>
    <t>13655189432</t>
  </si>
  <si>
    <t>13913352956</t>
  </si>
  <si>
    <t>18260012664</t>
  </si>
  <si>
    <t>15895813303</t>
  </si>
  <si>
    <t>17751798279</t>
  </si>
  <si>
    <t>13914469408</t>
  </si>
  <si>
    <t>13357067692</t>
  </si>
  <si>
    <t>13082558376</t>
  </si>
  <si>
    <t>13046562270</t>
  </si>
  <si>
    <t>13585182927</t>
  </si>
  <si>
    <t>13405881841</t>
  </si>
  <si>
    <t>13913353934</t>
  </si>
  <si>
    <t>13382063109</t>
  </si>
  <si>
    <t>18751905887</t>
  </si>
  <si>
    <t>15950575451</t>
  </si>
  <si>
    <t>13814195205</t>
  </si>
  <si>
    <t>13967273173</t>
  </si>
  <si>
    <t>15151098772</t>
  </si>
  <si>
    <t>15951922779</t>
  </si>
  <si>
    <t>13861386725</t>
  </si>
  <si>
    <t>13915933633</t>
  </si>
  <si>
    <t>18205170719</t>
  </si>
  <si>
    <t>13770505854</t>
  </si>
  <si>
    <t>13851556060</t>
  </si>
  <si>
    <t>13851753541</t>
  </si>
  <si>
    <t>13382070730</t>
  </si>
  <si>
    <t>13182887992</t>
  </si>
  <si>
    <t>13851974383</t>
  </si>
  <si>
    <t>13182916728</t>
  </si>
  <si>
    <t>13814500709</t>
  </si>
  <si>
    <t>13337731370</t>
  </si>
  <si>
    <t>15153780577</t>
  </si>
  <si>
    <t>13913948838</t>
  </si>
  <si>
    <t>18795925727</t>
  </si>
  <si>
    <t>13913986202</t>
  </si>
  <si>
    <t>13814047114</t>
  </si>
  <si>
    <t>13851817555</t>
  </si>
  <si>
    <t>18014718140</t>
  </si>
  <si>
    <t>13814184208</t>
  </si>
  <si>
    <t>13813395815</t>
  </si>
  <si>
    <t>15366070197</t>
  </si>
  <si>
    <t>15651941090</t>
  </si>
  <si>
    <t>18913323180</t>
  </si>
  <si>
    <t>15151898100</t>
  </si>
  <si>
    <t>13915904689</t>
  </si>
  <si>
    <t>15895803033</t>
  </si>
  <si>
    <t>13951998569</t>
  </si>
  <si>
    <t>13912901699</t>
  </si>
  <si>
    <t>15190461306</t>
  </si>
  <si>
    <t>18795871186</t>
  </si>
  <si>
    <t>18751908004</t>
  </si>
  <si>
    <t>15952796435</t>
  </si>
  <si>
    <t>15996450799</t>
  </si>
  <si>
    <t>13851696760</t>
  </si>
  <si>
    <t>13305175975</t>
  </si>
  <si>
    <t>13115022592</t>
  </si>
  <si>
    <t>15195795972</t>
  </si>
  <si>
    <t>13913350559</t>
  </si>
  <si>
    <t>18005179908</t>
  </si>
  <si>
    <t>13851992652</t>
  </si>
  <si>
    <t>13913385915</t>
  </si>
  <si>
    <t>18052061236</t>
  </si>
  <si>
    <t>13915938044</t>
  </si>
  <si>
    <t>13813026101</t>
  </si>
  <si>
    <t>15161492269</t>
  </si>
  <si>
    <t>15952008826</t>
  </si>
  <si>
    <t>13913824840</t>
  </si>
  <si>
    <t>13914450260</t>
  </si>
  <si>
    <t>15951664727</t>
  </si>
  <si>
    <t>18912922647</t>
  </si>
  <si>
    <t>15996456649</t>
  </si>
  <si>
    <t>13913359983</t>
  </si>
  <si>
    <t>15951771066</t>
  </si>
  <si>
    <t>18551675351</t>
  </si>
  <si>
    <t>13357737073</t>
  </si>
  <si>
    <t>13912930108</t>
  </si>
  <si>
    <t>15251730865</t>
  </si>
  <si>
    <t>13912935388</t>
  </si>
  <si>
    <t>18951074109</t>
  </si>
  <si>
    <t>13813023573</t>
  </si>
  <si>
    <t>13851466196</t>
  </si>
  <si>
    <t>18013357220</t>
  </si>
  <si>
    <t>13912905199</t>
  </si>
  <si>
    <t>13852283705</t>
  </si>
  <si>
    <t>15651805063</t>
  </si>
  <si>
    <t>15951849634</t>
  </si>
  <si>
    <t>13951840550</t>
  </si>
  <si>
    <t>13655189096</t>
  </si>
  <si>
    <t>15051826025</t>
  </si>
  <si>
    <t>13327735560</t>
  </si>
  <si>
    <t>15751825384</t>
  </si>
  <si>
    <t>13770817827</t>
  </si>
  <si>
    <t>13405853227</t>
  </si>
  <si>
    <t>13951938695</t>
  </si>
  <si>
    <t>13951936417</t>
  </si>
  <si>
    <t>18752086667</t>
  </si>
  <si>
    <t>18761808926</t>
  </si>
  <si>
    <t>13814165135</t>
  </si>
  <si>
    <t>13901594948</t>
  </si>
  <si>
    <t>13776569812</t>
  </si>
  <si>
    <t>13770812268</t>
  </si>
  <si>
    <t>15195829971</t>
  </si>
  <si>
    <t>13770803022</t>
  </si>
  <si>
    <t>13675183262</t>
  </si>
  <si>
    <t>18205160638</t>
  </si>
  <si>
    <t>15150636319</t>
  </si>
  <si>
    <t>13151531351</t>
  </si>
  <si>
    <t>15651917120</t>
  </si>
  <si>
    <t>13705162824</t>
  </si>
  <si>
    <t>13770806081</t>
  </si>
  <si>
    <t>13921411945</t>
  </si>
  <si>
    <t>13951936981</t>
  </si>
  <si>
    <t>15366014217</t>
  </si>
  <si>
    <t>13913356885</t>
  </si>
  <si>
    <t>13182822859</t>
  </si>
  <si>
    <t>17751798589</t>
  </si>
  <si>
    <t>15895938447</t>
  </si>
  <si>
    <t>13813010678</t>
  </si>
  <si>
    <t>18936026786</t>
  </si>
  <si>
    <t>13655161368</t>
  </si>
  <si>
    <t>13951912779</t>
  </si>
  <si>
    <t>13611508184</t>
  </si>
  <si>
    <t>18251805760</t>
  </si>
  <si>
    <t>13705149898</t>
  </si>
  <si>
    <t>13160098162</t>
  </si>
  <si>
    <t>13951628185</t>
  </si>
  <si>
    <t>18913027562</t>
  </si>
  <si>
    <t>18251803071</t>
  </si>
  <si>
    <t>13585188736</t>
  </si>
  <si>
    <t>13505290512</t>
  </si>
  <si>
    <t>13032547415</t>
  </si>
  <si>
    <t>15951018310</t>
  </si>
  <si>
    <t>13337730840</t>
  </si>
  <si>
    <t>15312980328</t>
  </si>
  <si>
    <t>13770764067</t>
  </si>
  <si>
    <t>15195849575</t>
  </si>
  <si>
    <t>13770578708</t>
  </si>
  <si>
    <t>13814033840</t>
  </si>
  <si>
    <t>15751330136</t>
  </si>
  <si>
    <t>13805140815</t>
  </si>
  <si>
    <t>13814512530</t>
  </si>
  <si>
    <t>13072598525</t>
  </si>
  <si>
    <t>18351843061</t>
  </si>
  <si>
    <t>13951979733</t>
  </si>
  <si>
    <t>13701400440</t>
  </si>
  <si>
    <t>13815446604</t>
  </si>
  <si>
    <t>15312072612</t>
  </si>
  <si>
    <t>18795912115</t>
  </si>
  <si>
    <t>15195888119</t>
  </si>
  <si>
    <t>15335185177</t>
  </si>
  <si>
    <t>13770885695</t>
  </si>
  <si>
    <t>18512528468</t>
  </si>
  <si>
    <t>15195932757</t>
  </si>
  <si>
    <t>13813011429</t>
  </si>
  <si>
    <t>13770829679</t>
  </si>
  <si>
    <t>13951687383</t>
  </si>
  <si>
    <t>13813395886</t>
  </si>
  <si>
    <t>13805198620</t>
  </si>
  <si>
    <t>18952088047</t>
  </si>
  <si>
    <t>13913961371</t>
  </si>
  <si>
    <t>17502517822</t>
  </si>
  <si>
    <t>15851801060</t>
  </si>
  <si>
    <t>13151526027</t>
  </si>
  <si>
    <t>15895802177</t>
  </si>
  <si>
    <t>15951619107</t>
  </si>
  <si>
    <t>15305168370</t>
  </si>
  <si>
    <t>13914708018</t>
  </si>
  <si>
    <t>15358112168</t>
  </si>
  <si>
    <t>13813032228</t>
  </si>
  <si>
    <t>15150526096</t>
  </si>
  <si>
    <t>18752087831</t>
  </si>
  <si>
    <t>15850718537</t>
  </si>
  <si>
    <t>15852888245</t>
  </si>
  <si>
    <t>13151546179</t>
  </si>
  <si>
    <t>13813023041</t>
  </si>
  <si>
    <t>18252639125</t>
  </si>
  <si>
    <t>18052031345</t>
  </si>
  <si>
    <t>18761625095</t>
  </si>
  <si>
    <t>13951088431</t>
  </si>
  <si>
    <t>15996322372</t>
  </si>
  <si>
    <t>13952057958</t>
  </si>
  <si>
    <t>13912901476</t>
  </si>
  <si>
    <t>15951016015</t>
  </si>
  <si>
    <t>13913853796</t>
  </si>
  <si>
    <t>18251801730</t>
  </si>
  <si>
    <t>13665232463</t>
  </si>
  <si>
    <t>18712097686</t>
  </si>
  <si>
    <t>15052977239</t>
  </si>
  <si>
    <t>13913355061</t>
  </si>
  <si>
    <t>13915973761</t>
  </si>
  <si>
    <t>13585152754</t>
  </si>
  <si>
    <t>17512567099</t>
  </si>
  <si>
    <t>13770906022</t>
  </si>
  <si>
    <t>15951626308</t>
  </si>
  <si>
    <t>13072507309</t>
  </si>
  <si>
    <t>15189813231</t>
  </si>
  <si>
    <t>18652086175</t>
  </si>
  <si>
    <t>18018095447</t>
  </si>
  <si>
    <t>13160038892</t>
  </si>
  <si>
    <t>17366375275</t>
  </si>
  <si>
    <t>13305182355</t>
  </si>
  <si>
    <t>18021543385</t>
  </si>
  <si>
    <t>13813832264</t>
  </si>
  <si>
    <t>13160058569</t>
  </si>
  <si>
    <t>13222767607</t>
  </si>
  <si>
    <t>13813392796</t>
  </si>
  <si>
    <t>13813025629</t>
  </si>
  <si>
    <t>13851412675</t>
  </si>
  <si>
    <t>15366011392</t>
  </si>
  <si>
    <t>18752015061</t>
  </si>
  <si>
    <t>13813072374</t>
  </si>
  <si>
    <t>15251718973</t>
  </si>
  <si>
    <t>13813029719</t>
  </si>
  <si>
    <t>13851643355</t>
  </si>
  <si>
    <t>13914468006</t>
  </si>
  <si>
    <t>13401950847</t>
  </si>
  <si>
    <t>13505159953</t>
  </si>
  <si>
    <t>18952039473</t>
  </si>
  <si>
    <t>15951023687</t>
  </si>
  <si>
    <t>18021531675</t>
  </si>
  <si>
    <t>18105178791</t>
  </si>
  <si>
    <t>13809093958</t>
  </si>
  <si>
    <t>13655194811</t>
  </si>
  <si>
    <t>13914760669</t>
  </si>
  <si>
    <t>13951893199</t>
  </si>
  <si>
    <t>15857112176</t>
  </si>
  <si>
    <t>13851668578</t>
  </si>
  <si>
    <t>18913028262</t>
  </si>
  <si>
    <t>13601432099</t>
  </si>
  <si>
    <t>13814534791</t>
  </si>
  <si>
    <t>15150627295</t>
  </si>
  <si>
    <t>13851671791</t>
  </si>
  <si>
    <t>18751905620</t>
  </si>
  <si>
    <t>13913838203</t>
  </si>
  <si>
    <t>13770800832</t>
  </si>
  <si>
    <t>13601432618</t>
  </si>
  <si>
    <t>13174075176</t>
  </si>
  <si>
    <t>13905147488</t>
  </si>
  <si>
    <t>15195933292</t>
  </si>
  <si>
    <t>13151526615</t>
  </si>
  <si>
    <t>13813008653</t>
  </si>
  <si>
    <t>13451846453</t>
  </si>
  <si>
    <t>13776521868</t>
  </si>
  <si>
    <t>18251977989</t>
  </si>
  <si>
    <t>15951783349</t>
  </si>
  <si>
    <t>13260889529</t>
  </si>
  <si>
    <t>18402548652</t>
  </si>
  <si>
    <t>18951088607</t>
  </si>
  <si>
    <t>15651713518</t>
  </si>
  <si>
    <t>18151660561</t>
  </si>
  <si>
    <t>13921425181</t>
  </si>
  <si>
    <t>13405893209</t>
  </si>
  <si>
    <t>13776680712</t>
  </si>
  <si>
    <t>13338618951</t>
  </si>
  <si>
    <t>15195930980</t>
  </si>
  <si>
    <t>13655165932</t>
  </si>
  <si>
    <t>15996324801</t>
  </si>
  <si>
    <t>13915932944</t>
  </si>
  <si>
    <t>14751617313</t>
  </si>
  <si>
    <t>13951824048</t>
  </si>
  <si>
    <t>溧水营业部经理</t>
  </si>
  <si>
    <t>2018-04-19</t>
  </si>
  <si>
    <t>2018-04-18</t>
  </si>
  <si>
    <t>2018-04-15</t>
  </si>
  <si>
    <t>2018-04-11</t>
  </si>
  <si>
    <t>2018-04-07</t>
  </si>
  <si>
    <t>2018-04-12</t>
  </si>
  <si>
    <t>2018-04-20</t>
  </si>
  <si>
    <t>2018-04-06</t>
  </si>
  <si>
    <t>2018-04-28</t>
  </si>
  <si>
    <t>2018-04-13</t>
  </si>
  <si>
    <t>2018-04-05</t>
  </si>
  <si>
    <t>2018-04-22</t>
  </si>
  <si>
    <t>2018-04-21</t>
  </si>
  <si>
    <t>2018-04-02</t>
  </si>
  <si>
    <t>2018-04-04</t>
  </si>
  <si>
    <t>2018-04-24</t>
  </si>
  <si>
    <t>2018-04-17</t>
  </si>
  <si>
    <t>2018-04-29</t>
  </si>
  <si>
    <t>2018-04-08</t>
  </si>
  <si>
    <t>2018-04-23</t>
  </si>
  <si>
    <t>2018-04-14</t>
  </si>
  <si>
    <t>2018-04-09</t>
  </si>
  <si>
    <t>2018-04-01</t>
  </si>
  <si>
    <t>2018-08-31</t>
  </si>
  <si>
    <t>2018-04-27</t>
  </si>
  <si>
    <t>2018-04-16</t>
  </si>
  <si>
    <t>2018-04-10</t>
  </si>
  <si>
    <t>2018-09-12</t>
  </si>
  <si>
    <t>2018-04-03</t>
  </si>
  <si>
    <t>2018-03-31</t>
  </si>
  <si>
    <t>2018-04-30</t>
  </si>
  <si>
    <t>2018-09-07</t>
  </si>
  <si>
    <t>2018-09-15</t>
  </si>
  <si>
    <t>2018-04-25</t>
  </si>
  <si>
    <t>2018-04-26</t>
  </si>
  <si>
    <t>2018-09-06</t>
  </si>
  <si>
    <t>2018-05-31</t>
  </si>
  <si>
    <t>2019-02-25</t>
  </si>
  <si>
    <t>2019-02-26</t>
  </si>
  <si>
    <t>2018-08-30</t>
  </si>
  <si>
    <t>2020-02-21</t>
  </si>
  <si>
    <t>2018-06-01</t>
  </si>
  <si>
    <t>2019-03-01</t>
  </si>
  <si>
    <t>2018-09-02</t>
  </si>
  <si>
    <t>2018-06-04</t>
  </si>
  <si>
    <t>2018-06-05</t>
  </si>
  <si>
    <t>2019-03-02</t>
  </si>
  <si>
    <t>2018-09-03</t>
  </si>
  <si>
    <t>2019-03-03</t>
  </si>
  <si>
    <t>2018-09-04</t>
  </si>
  <si>
    <t>2018-06-06</t>
  </si>
  <si>
    <t>2018-06-07</t>
  </si>
  <si>
    <t>2019-03-04</t>
  </si>
  <si>
    <t>2018-09-05</t>
  </si>
  <si>
    <t>2019-03-05</t>
  </si>
  <si>
    <t>2018-06-08</t>
  </si>
  <si>
    <t>2019-03-08</t>
  </si>
  <si>
    <t>2018-09-09</t>
  </si>
  <si>
    <t>2020-03-02</t>
  </si>
  <si>
    <t>2018-06-11</t>
  </si>
  <si>
    <t>2018-06-12</t>
  </si>
  <si>
    <t>2020-03-03</t>
  </si>
  <si>
    <t>2019-03-09</t>
  </si>
  <si>
    <t>2018-09-10</t>
  </si>
  <si>
    <t>2019-03-10</t>
  </si>
  <si>
    <t>2018-09-11</t>
  </si>
  <si>
    <t>2018-06-13</t>
  </si>
  <si>
    <t>2018-06-14</t>
  </si>
  <si>
    <t>2019-03-11</t>
  </si>
  <si>
    <t>2019-03-12</t>
  </si>
  <si>
    <t>2018-09-13</t>
  </si>
  <si>
    <t>2018-06-15</t>
  </si>
  <si>
    <t>2019-03-15</t>
  </si>
  <si>
    <t>2018-09-16</t>
  </si>
  <si>
    <t>2018-06-18</t>
  </si>
  <si>
    <t>2018-06-19</t>
  </si>
  <si>
    <t>2020-03-10</t>
  </si>
  <si>
    <t>2018-09-17</t>
  </si>
  <si>
    <t>2019-03-16</t>
  </si>
  <si>
    <t>2019-03-17</t>
  </si>
  <si>
    <t>2018-09-18</t>
  </si>
  <si>
    <t>2018-06-20</t>
  </si>
  <si>
    <t>2018-06-21</t>
  </si>
  <si>
    <t>2020-03-12</t>
  </si>
  <si>
    <t>2018-09-19</t>
  </si>
  <si>
    <t>2019-03-18</t>
  </si>
  <si>
    <t>2019-03-19</t>
  </si>
  <si>
    <t>2018-09-20</t>
  </si>
  <si>
    <t>2018-06-22</t>
  </si>
  <si>
    <t>2019-03-22</t>
  </si>
  <si>
    <t>2018-09-23</t>
  </si>
  <si>
    <t>2018-06-25</t>
  </si>
  <si>
    <t>2018-06-26</t>
  </si>
  <si>
    <t>2019-03-23</t>
  </si>
  <si>
    <t>2018-09-24</t>
  </si>
  <si>
    <t>2019-03-24</t>
  </si>
  <si>
    <t>2018-09-25</t>
  </si>
  <si>
    <t>2020-03-18</t>
  </si>
  <si>
    <t>2018-06-27</t>
  </si>
  <si>
    <t>2018-06-28</t>
  </si>
  <si>
    <t>2019-03-25</t>
  </si>
  <si>
    <t>2018-09-26</t>
  </si>
  <si>
    <t>2019-03-26</t>
  </si>
  <si>
    <t>2018-09-27</t>
  </si>
  <si>
    <t>2020-03-20</t>
  </si>
  <si>
    <t>2018-06-29</t>
  </si>
  <si>
    <t>2018-06-30</t>
  </si>
  <si>
    <t>2020-03-21</t>
  </si>
  <si>
    <t>2019-03-27</t>
  </si>
  <si>
    <t>2018-09-28</t>
  </si>
  <si>
    <t>秦凤</t>
  </si>
  <si>
    <t>冯霞</t>
  </si>
  <si>
    <t>310113198209013221</t>
  </si>
  <si>
    <t>310102197404285229</t>
  </si>
  <si>
    <t>13564852366</t>
  </si>
  <si>
    <t>13003177551</t>
  </si>
  <si>
    <t>13818150460</t>
  </si>
  <si>
    <t>13482552524</t>
  </si>
  <si>
    <t>13381512886</t>
  </si>
  <si>
    <t>18917031863</t>
  </si>
  <si>
    <t>13818887963</t>
  </si>
  <si>
    <t>18221773097</t>
  </si>
  <si>
    <t>18930374805</t>
  </si>
  <si>
    <t>18117564816</t>
  </si>
  <si>
    <t>13817054458</t>
  </si>
  <si>
    <t>13901664875</t>
  </si>
  <si>
    <t>13901939855</t>
  </si>
  <si>
    <t>13916931926</t>
  </si>
  <si>
    <t>18049857797</t>
  </si>
  <si>
    <t>13061605520</t>
  </si>
  <si>
    <t>13564111115</t>
  </si>
  <si>
    <t>15821263703</t>
  </si>
  <si>
    <t>13917818862</t>
  </si>
  <si>
    <t>13641757704</t>
  </si>
  <si>
    <t>18116125985</t>
  </si>
  <si>
    <t>13651755754</t>
  </si>
  <si>
    <t>18964935618</t>
  </si>
  <si>
    <t>13918492135</t>
  </si>
  <si>
    <t>18916023629</t>
  </si>
  <si>
    <t>13901953354</t>
  </si>
  <si>
    <t>13012854676</t>
  </si>
  <si>
    <t>18918529088</t>
  </si>
  <si>
    <t>13801852643</t>
  </si>
  <si>
    <t>15201770171</t>
  </si>
  <si>
    <t>13621763728</t>
  </si>
  <si>
    <t>13917353320</t>
  </si>
  <si>
    <t>13917515953</t>
  </si>
  <si>
    <t>13122041871</t>
  </si>
  <si>
    <t>13901933622</t>
  </si>
  <si>
    <t>13651965647</t>
  </si>
  <si>
    <t>15800783371</t>
  </si>
  <si>
    <t>13651961794</t>
  </si>
  <si>
    <t>13818560353</t>
  </si>
  <si>
    <t>13761589503</t>
  </si>
  <si>
    <t>13162640661</t>
  </si>
  <si>
    <t>13816483643</t>
  </si>
  <si>
    <t>13917130927</t>
  </si>
  <si>
    <t>13166272384</t>
  </si>
  <si>
    <t>13501668085</t>
  </si>
  <si>
    <t>13524203114</t>
  </si>
  <si>
    <t>13671954212</t>
  </si>
  <si>
    <t>18939909361</t>
  </si>
  <si>
    <t>18016318175</t>
  </si>
  <si>
    <t>13636564430</t>
  </si>
  <si>
    <t>18101717131</t>
  </si>
  <si>
    <t>17302102830</t>
  </si>
  <si>
    <t>15216738366</t>
  </si>
  <si>
    <t>18930042933</t>
  </si>
  <si>
    <t>15316687795</t>
  </si>
  <si>
    <t>18917838358</t>
  </si>
  <si>
    <t>13621848002</t>
  </si>
  <si>
    <t>13651829730</t>
  </si>
  <si>
    <t>13761897090</t>
  </si>
  <si>
    <t>15921442678</t>
  </si>
  <si>
    <t>15852096638</t>
  </si>
  <si>
    <t>13918591485</t>
  </si>
  <si>
    <t>15821282527</t>
  </si>
  <si>
    <t>13816645778</t>
  </si>
  <si>
    <t>18917820654</t>
  </si>
  <si>
    <t>13761736329</t>
  </si>
  <si>
    <t>18930134750</t>
  </si>
  <si>
    <t>13916973771</t>
  </si>
  <si>
    <t>18930916319</t>
  </si>
  <si>
    <t>13012861291</t>
  </si>
  <si>
    <t>18017392388</t>
  </si>
  <si>
    <t>13816032491</t>
  </si>
  <si>
    <t>15801788820</t>
  </si>
  <si>
    <t>18918671751</t>
  </si>
  <si>
    <t>18019476092</t>
  </si>
  <si>
    <t>13012820054</t>
  </si>
  <si>
    <t>18616578090</t>
  </si>
  <si>
    <t>13961537153</t>
  </si>
  <si>
    <t>18018601195</t>
  </si>
  <si>
    <t>18516119985</t>
  </si>
  <si>
    <t>13764959048</t>
  </si>
  <si>
    <t>15502179730</t>
  </si>
  <si>
    <t>15000463995</t>
  </si>
  <si>
    <t>15000081561</t>
  </si>
  <si>
    <t>13701791119</t>
  </si>
  <si>
    <t>13801672677</t>
  </si>
  <si>
    <t>13918237719</t>
  </si>
  <si>
    <t>13661855277</t>
  </si>
  <si>
    <t>13331866518</t>
  </si>
  <si>
    <t>13661859959</t>
  </si>
  <si>
    <t>17701712735</t>
  </si>
  <si>
    <t>2020-02-25</t>
  </si>
  <si>
    <t>2020-02-26</t>
  </si>
  <si>
    <t>2020-03-13</t>
  </si>
  <si>
    <t>2020-03-16</t>
  </si>
  <si>
    <t>320112195711221634</t>
  </si>
  <si>
    <t>汤业伦</t>
  </si>
  <si>
    <t>储·盈计划-1个月（180401期）</t>
  </si>
  <si>
    <t>储·盈计划-24个月（180402期）</t>
  </si>
  <si>
    <t>32012319701029023X</t>
  </si>
  <si>
    <t>李成强</t>
  </si>
  <si>
    <t>储·盈计划-12个月（180402期）</t>
  </si>
  <si>
    <t>320113196304252821</t>
  </si>
  <si>
    <t>窦长青</t>
  </si>
  <si>
    <t>32011219670910162x</t>
  </si>
  <si>
    <t>莫劲松</t>
  </si>
  <si>
    <t>320112195104070432</t>
  </si>
  <si>
    <t>朱永宽</t>
  </si>
  <si>
    <t>32011219670906083X</t>
  </si>
  <si>
    <t>李传宝</t>
  </si>
  <si>
    <t>320111197507123212</t>
  </si>
  <si>
    <t>320112197811011641</t>
  </si>
  <si>
    <t>储·盈计划-1个月（180402期）</t>
  </si>
  <si>
    <t>320123196608083214</t>
  </si>
  <si>
    <t>陈志标</t>
  </si>
  <si>
    <t>320112193503241615</t>
  </si>
  <si>
    <t>陈介民</t>
  </si>
  <si>
    <t>320123196808070223</t>
  </si>
  <si>
    <t>朱秋霞</t>
  </si>
  <si>
    <t>储·盈计划-3个月（180402期）</t>
  </si>
  <si>
    <t>320106197707061625</t>
  </si>
  <si>
    <t>袁薇</t>
  </si>
  <si>
    <t>320123197406100420</t>
  </si>
  <si>
    <t>丁美红</t>
  </si>
  <si>
    <t>320123196412303019</t>
  </si>
  <si>
    <t>傅广仁</t>
  </si>
  <si>
    <t>江苏</t>
  </si>
  <si>
    <t>1.25</t>
  </si>
  <si>
    <t>test</t>
  </si>
  <si>
    <t>储·盈计划-6个月（180121期）</t>
  </si>
  <si>
    <t>320124197312230028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</si>
</sst>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%"/>
    <numFmt numFmtId="165" formatCode="0.0_);[Red]\(0.0\)"/>
    <numFmt numFmtId="166" formatCode="0_);[Red]\(0\)"/>
    <numFmt numFmtId="167" formatCode="0.00_ "/>
    <numFmt numFmtId="168" formatCode="[=0]&quot;0&quot;;General"/>
    <numFmt numFmtId="169" formatCode="0_ "/>
  </numFmts>
  <fonts count="15">
    <font>
      <sz val="11"/>
      <color theme="1"/>
      <name val="Calibri"/>
      <charset val="134"/>
      <scheme val="minor"/>
    </font>
    <font>
      <sz val="10"/>
      <name val="Arial"/>
      <family val="2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theme="1"/>
      <name val="Calibri"/>
      <family val="3"/>
      <charset val="134"/>
      <scheme val="minor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9"/>
      <name val="Calibri"/>
      <family val="3"/>
      <charset val="134"/>
      <scheme val="minor"/>
    </font>
    <font>
      <b/>
      <sz val="9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theme="0" tint="-0.24994659260841701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24994659260841701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9" fontId="10" fillId="0" borderId="0" applyFont="0" applyFill="0" applyBorder="0" applyAlignment="0" applyProtection="0">
      <alignment vertical="center"/>
    </xf>
    <xf numFmtId="0" fontId="1" fillId="0" borderId="0"/>
    <xf numFmtId="0" fontId="10" fillId="0" borderId="0">
      <alignment vertical="center"/>
    </xf>
  </cellStyleXfs>
  <cellXfs count="125">
    <xf numFmtId="0" fontId="0" fillId="0" borderId="0" xfId="0"/>
    <xf numFmtId="0" fontId="2" fillId="0" borderId="6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166" fontId="5" fillId="0" borderId="2" xfId="0" applyNumberFormat="1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167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/>
    <xf numFmtId="0" fontId="3" fillId="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NumberFormat="1" applyFont="1" applyBorder="1"/>
    <xf numFmtId="164" fontId="3" fillId="0" borderId="0" xfId="1" applyNumberFormat="1" applyFont="1" applyBorder="1" applyAlignment="1">
      <alignment horizontal="center"/>
    </xf>
    <xf numFmtId="164" fontId="5" fillId="0" borderId="2" xfId="1" applyNumberFormat="1" applyFont="1" applyBorder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6" fontId="3" fillId="0" borderId="0" xfId="0" applyNumberFormat="1" applyFont="1" applyAlignment="1">
      <alignment vertical="center"/>
    </xf>
    <xf numFmtId="169" fontId="3" fillId="0" borderId="0" xfId="0" applyNumberFormat="1" applyFont="1" applyAlignment="1">
      <alignment vertical="center"/>
    </xf>
    <xf numFmtId="165" fontId="4" fillId="5" borderId="11" xfId="0" applyNumberFormat="1" applyFont="1" applyFill="1" applyBorder="1" applyAlignment="1">
      <alignment horizontal="center" vertical="center" wrapText="1"/>
    </xf>
    <xf numFmtId="165" fontId="4" fillId="5" borderId="12" xfId="0" applyNumberFormat="1" applyFont="1" applyFill="1" applyBorder="1" applyAlignment="1">
      <alignment horizontal="center" vertical="center" wrapText="1"/>
    </xf>
    <xf numFmtId="165" fontId="6" fillId="0" borderId="2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165" fontId="3" fillId="7" borderId="0" xfId="0" applyNumberFormat="1" applyFont="1" applyFill="1" applyAlignment="1">
      <alignment vertical="center"/>
    </xf>
    <xf numFmtId="165" fontId="4" fillId="6" borderId="2" xfId="0" applyNumberFormat="1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vertical="center"/>
    </xf>
    <xf numFmtId="165" fontId="5" fillId="0" borderId="0" xfId="0" applyNumberFormat="1" applyFont="1" applyBorder="1" applyAlignment="1">
      <alignment horizontal="center" vertical="center" wrapText="1"/>
    </xf>
    <xf numFmtId="165" fontId="5" fillId="0" borderId="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Fill="1" applyBorder="1" applyAlignment="1">
      <alignment horizontal="center" vertical="center"/>
    </xf>
    <xf numFmtId="165" fontId="5" fillId="0" borderId="0" xfId="1" applyNumberFormat="1" applyFont="1" applyBorder="1" applyAlignment="1">
      <alignment horizontal="center" vertical="center" wrapText="1"/>
    </xf>
    <xf numFmtId="165" fontId="3" fillId="0" borderId="16" xfId="0" applyNumberFormat="1" applyFont="1" applyBorder="1" applyAlignment="1">
      <alignment vertical="center"/>
    </xf>
    <xf numFmtId="166" fontId="3" fillId="0" borderId="16" xfId="0" applyNumberFormat="1" applyFont="1" applyBorder="1" applyAlignment="1">
      <alignment vertical="center"/>
    </xf>
    <xf numFmtId="166" fontId="3" fillId="0" borderId="15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 wrapText="1"/>
    </xf>
    <xf numFmtId="165" fontId="3" fillId="0" borderId="2" xfId="0" applyNumberFormat="1" applyFont="1" applyFill="1" applyBorder="1" applyAlignment="1">
      <alignment horizontal="center" vertical="center"/>
    </xf>
    <xf numFmtId="169" fontId="5" fillId="0" borderId="2" xfId="0" applyNumberFormat="1" applyFont="1" applyBorder="1" applyAlignment="1">
      <alignment horizontal="center" vertical="center" wrapText="1"/>
    </xf>
    <xf numFmtId="169" fontId="3" fillId="0" borderId="16" xfId="0" applyNumberFormat="1" applyFont="1" applyBorder="1" applyAlignment="1">
      <alignment vertical="center"/>
    </xf>
    <xf numFmtId="169" fontId="3" fillId="0" borderId="15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166" fontId="3" fillId="0" borderId="0" xfId="1" applyNumberFormat="1" applyFont="1" applyAlignment="1">
      <alignment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0" xfId="1" applyNumberFormat="1" applyFont="1" applyFill="1" applyBorder="1" applyAlignment="1">
      <alignment horizontal="center" vertical="center"/>
    </xf>
    <xf numFmtId="9" fontId="3" fillId="7" borderId="0" xfId="1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8" fillId="7" borderId="0" xfId="0" applyNumberFormat="1" applyFont="1" applyFill="1" applyBorder="1" applyAlignment="1">
      <alignment horizontal="center" vertical="center"/>
    </xf>
    <xf numFmtId="0" fontId="6" fillId="7" borderId="0" xfId="0" applyNumberFormat="1" applyFont="1" applyFill="1" applyBorder="1" applyAlignment="1">
      <alignment horizontal="center" vertical="center"/>
    </xf>
    <xf numFmtId="165" fontId="4" fillId="4" borderId="2" xfId="0" applyNumberFormat="1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vertical="center"/>
    </xf>
    <xf numFmtId="165" fontId="3" fillId="7" borderId="15" xfId="0" applyNumberFormat="1" applyFont="1" applyFill="1" applyBorder="1" applyAlignment="1">
      <alignment vertical="center"/>
    </xf>
    <xf numFmtId="165" fontId="9" fillId="8" borderId="0" xfId="0" applyNumberFormat="1" applyFont="1" applyFill="1" applyAlignment="1">
      <alignment vertical="center"/>
    </xf>
    <xf numFmtId="166" fontId="3" fillId="7" borderId="0" xfId="0" applyNumberFormat="1" applyFont="1" applyFill="1" applyAlignment="1">
      <alignment vertical="center"/>
    </xf>
    <xf numFmtId="165" fontId="3" fillId="5" borderId="2" xfId="0" applyNumberFormat="1" applyFont="1" applyFill="1" applyBorder="1" applyAlignment="1">
      <alignment horizontal="center" vertical="center" wrapText="1"/>
    </xf>
    <xf numFmtId="166" fontId="3" fillId="7" borderId="15" xfId="0" applyNumberFormat="1" applyFont="1" applyFill="1" applyBorder="1" applyAlignment="1">
      <alignment vertical="center"/>
    </xf>
    <xf numFmtId="0" fontId="3" fillId="7" borderId="0" xfId="0" applyFont="1" applyFill="1" applyBorder="1" applyAlignment="1">
      <alignment vertical="center"/>
    </xf>
    <xf numFmtId="165" fontId="3" fillId="7" borderId="0" xfId="0" applyNumberFormat="1" applyFont="1" applyFill="1" applyBorder="1" applyAlignment="1">
      <alignment vertical="center"/>
    </xf>
    <xf numFmtId="166" fontId="3" fillId="7" borderId="0" xfId="0" applyNumberFormat="1" applyFont="1" applyFill="1" applyBorder="1" applyAlignment="1">
      <alignment vertical="center"/>
    </xf>
    <xf numFmtId="169" fontId="3" fillId="7" borderId="2" xfId="0" applyNumberFormat="1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166" fontId="4" fillId="6" borderId="2" xfId="0" applyNumberFormat="1" applyFont="1" applyFill="1" applyBorder="1" applyAlignment="1">
      <alignment horizontal="center" vertical="center"/>
    </xf>
    <xf numFmtId="169" fontId="4" fillId="6" borderId="2" xfId="0" applyNumberFormat="1" applyFont="1" applyFill="1" applyBorder="1" applyAlignment="1">
      <alignment horizontal="center" vertical="center"/>
    </xf>
    <xf numFmtId="165" fontId="3" fillId="0" borderId="17" xfId="0" applyNumberFormat="1" applyFont="1" applyBorder="1" applyAlignment="1">
      <alignment vertical="center"/>
    </xf>
    <xf numFmtId="166" fontId="3" fillId="0" borderId="0" xfId="0" applyNumberFormat="1" applyFont="1"/>
    <xf numFmtId="169" fontId="3" fillId="7" borderId="0" xfId="0" applyNumberFormat="1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66" fontId="3" fillId="0" borderId="0" xfId="1" applyNumberFormat="1" applyFont="1" applyBorder="1" applyAlignment="1"/>
    <xf numFmtId="0" fontId="3" fillId="0" borderId="15" xfId="0" applyFont="1" applyBorder="1" applyAlignment="1">
      <alignment horizontal="center" vertical="center"/>
    </xf>
    <xf numFmtId="169" fontId="3" fillId="7" borderId="0" xfId="0" applyNumberFormat="1" applyFont="1" applyFill="1" applyBorder="1" applyAlignment="1">
      <alignment vertical="center"/>
    </xf>
    <xf numFmtId="166" fontId="3" fillId="7" borderId="0" xfId="1" applyNumberFormat="1" applyFont="1" applyFill="1" applyBorder="1" applyAlignment="1">
      <alignment vertical="center"/>
    </xf>
    <xf numFmtId="168" fontId="5" fillId="0" borderId="2" xfId="0" applyNumberFormat="1" applyFont="1" applyBorder="1" applyAlignment="1">
      <alignment horizontal="center" vertical="center" wrapText="1"/>
    </xf>
    <xf numFmtId="168" fontId="4" fillId="4" borderId="2" xfId="0" applyNumberFormat="1" applyFont="1" applyFill="1" applyBorder="1" applyAlignment="1">
      <alignment horizontal="center" vertical="center"/>
    </xf>
    <xf numFmtId="168" fontId="3" fillId="0" borderId="2" xfId="0" applyNumberFormat="1" applyFont="1" applyFill="1" applyBorder="1" applyAlignment="1">
      <alignment horizontal="center" vertical="center"/>
    </xf>
    <xf numFmtId="168" fontId="4" fillId="6" borderId="2" xfId="0" applyNumberFormat="1" applyFont="1" applyFill="1" applyBorder="1" applyAlignment="1">
      <alignment horizontal="center" vertical="center"/>
    </xf>
    <xf numFmtId="166" fontId="3" fillId="0" borderId="0" xfId="1" applyNumberFormat="1" applyFont="1" applyAlignment="1"/>
    <xf numFmtId="165" fontId="4" fillId="5" borderId="2" xfId="0" applyNumberFormat="1" applyFont="1" applyFill="1" applyBorder="1" applyAlignment="1">
      <alignment horizontal="center" vertical="center" wrapText="1"/>
    </xf>
    <xf numFmtId="164" fontId="4" fillId="4" borderId="2" xfId="1" applyNumberFormat="1" applyFont="1" applyFill="1" applyBorder="1" applyAlignment="1">
      <alignment horizontal="center" vertical="center"/>
    </xf>
    <xf numFmtId="164" fontId="3" fillId="0" borderId="2" xfId="1" applyNumberFormat="1" applyFont="1" applyFill="1" applyBorder="1" applyAlignment="1">
      <alignment horizontal="center" vertical="center"/>
    </xf>
    <xf numFmtId="164" fontId="4" fillId="6" borderId="2" xfId="1" applyNumberFormat="1" applyFont="1" applyFill="1" applyBorder="1" applyAlignment="1">
      <alignment horizontal="center" vertical="center"/>
    </xf>
    <xf numFmtId="0" fontId="14" fillId="3" borderId="18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4" fontId="14" fillId="3" borderId="1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14" fontId="2" fillId="0" borderId="5" xfId="0" applyNumberFormat="1" applyFont="1" applyFill="1" applyBorder="1" applyAlignment="1">
      <alignment horizontal="center" vertical="center"/>
    </xf>
    <xf numFmtId="14" fontId="2" fillId="0" borderId="6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49" fontId="14" fillId="3" borderId="18" xfId="0" applyNumberFormat="1" applyFont="1" applyFill="1" applyBorder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5" fontId="3" fillId="0" borderId="15" xfId="0" applyNumberFormat="1" applyFont="1" applyBorder="1" applyAlignment="1">
      <alignment vertical="center"/>
    </xf>
    <xf numFmtId="14" fontId="5" fillId="0" borderId="0" xfId="0" applyNumberFormat="1" applyFont="1" applyBorder="1" applyAlignment="1">
      <alignment horizontal="center" vertical="center" wrapText="1"/>
    </xf>
    <xf numFmtId="14" fontId="6" fillId="0" borderId="0" xfId="0" applyNumberFormat="1" applyFont="1" applyFill="1" applyBorder="1" applyAlignment="1">
      <alignment horizontal="center" vertical="center"/>
    </xf>
    <xf numFmtId="14" fontId="2" fillId="7" borderId="0" xfId="0" applyNumberFormat="1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14" fontId="3" fillId="7" borderId="0" xfId="0" applyNumberFormat="1" applyFont="1" applyFill="1" applyAlignment="1">
      <alignment vertical="center"/>
    </xf>
    <xf numFmtId="14" fontId="3" fillId="7" borderId="0" xfId="0" applyNumberFormat="1" applyFont="1" applyFill="1" applyAlignment="1">
      <alignment horizontal="left" vertical="top"/>
    </xf>
    <xf numFmtId="0" fontId="0" fillId="0" borderId="0" xfId="0" applyNumberFormat="1"/>
    <xf numFmtId="49" fontId="14" fillId="0" borderId="4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165" fontId="4" fillId="5" borderId="2" xfId="0" applyNumberFormat="1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165" fontId="4" fillId="5" borderId="2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165" fontId="4" fillId="5" borderId="2" xfId="0" applyNumberFormat="1" applyFont="1" applyFill="1" applyBorder="1" applyAlignment="1">
      <alignment horizontal="center" vertical="center" wrapText="1"/>
    </xf>
    <xf numFmtId="166" fontId="4" fillId="5" borderId="2" xfId="0" applyNumberFormat="1" applyFont="1" applyFill="1" applyBorder="1" applyAlignment="1">
      <alignment horizontal="center" vertical="center" wrapText="1"/>
    </xf>
    <xf numFmtId="169" fontId="4" fillId="5" borderId="2" xfId="0" applyNumberFormat="1" applyFont="1" applyFill="1" applyBorder="1" applyAlignment="1">
      <alignment horizontal="center" vertical="center" wrapText="1"/>
    </xf>
    <xf numFmtId="164" fontId="4" fillId="5" borderId="2" xfId="1" applyNumberFormat="1" applyFont="1" applyFill="1" applyBorder="1" applyAlignment="1">
      <alignment horizontal="center" vertical="center" wrapText="1"/>
    </xf>
  </cellXfs>
  <cellStyles count="4">
    <cellStyle name="百分比" xfId="1" builtinId="5"/>
    <cellStyle name="常规" xfId="0" builtinId="0"/>
    <cellStyle name="常规 2" xfId="2" xr:uid="{00000000-0005-0000-0000-000002000000}"/>
    <cellStyle name="常规 3" xfId="3" xr:uid="{00000000-0005-0000-0000-000003000000}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E86C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510540</xdr:colOff>
          <xdr:row>3</xdr:row>
          <xdr:rowOff>121920</xdr:rowOff>
        </xdr:from>
        <xdr:to>
          <xdr:col>6</xdr:col>
          <xdr:colOff>236220</xdr:colOff>
          <xdr:row>5</xdr:row>
          <xdr:rowOff>106680</xdr:rowOff>
        </xdr:to>
        <xdr:sp macro="" textlink="">
          <xdr:nvSpPr>
            <xdr:cNvPr id="1025" name="CommandButton1" descr="开始汇总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350520</xdr:colOff>
          <xdr:row>3</xdr:row>
          <xdr:rowOff>121920</xdr:rowOff>
        </xdr:from>
        <xdr:to>
          <xdr:col>7</xdr:col>
          <xdr:colOff>556260</xdr:colOff>
          <xdr:row>5</xdr:row>
          <xdr:rowOff>99060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57"/>
  <sheetViews>
    <sheetView showGridLines="0" tabSelected="1" zoomScaleNormal="100" workbookViewId="0">
      <selection activeCell="B7" sqref="B7:B8"/>
    </sheetView>
  </sheetViews>
  <sheetFormatPr defaultColWidth="9" defaultRowHeight="15"/>
  <cols>
    <col min="1" max="1" width="10.109375" style="2" customWidth="1"/>
    <col min="2" max="2" width="13.6640625" style="2" customWidth="1"/>
    <col min="3" max="3" width="8.6640625" style="21" customWidth="1"/>
    <col min="4" max="4" width="8.6640625" style="21" hidden="1" customWidth="1"/>
    <col min="5" max="6" width="8.6640625" style="21" customWidth="1"/>
    <col min="7" max="7" width="9.33203125" style="21" customWidth="1"/>
    <col min="8" max="8" width="10.33203125" style="2" customWidth="1"/>
    <col min="9" max="9" width="11.6640625" style="2" customWidth="1"/>
    <col min="10" max="10" width="14.33203125" style="2" customWidth="1"/>
    <col min="11" max="13" width="8.6640625" style="21" customWidth="1"/>
    <col min="14" max="15" width="9.33203125" style="22" hidden="1" customWidth="1"/>
    <col min="16" max="17" width="9.33203125" style="23" customWidth="1"/>
    <col min="18" max="18" width="9.33203125" style="46" customWidth="1"/>
    <col min="19" max="19" width="9.33203125" style="47" customWidth="1"/>
    <col min="20" max="16384" width="9" style="2"/>
  </cols>
  <sheetData>
    <row r="1" spans="1:19" ht="16.2" thickBot="1">
      <c r="A1" s="3" t="s">
        <v>3</v>
      </c>
      <c r="B1" s="28"/>
      <c r="C1" s="29"/>
      <c r="D1" s="29"/>
      <c r="E1" s="29"/>
      <c r="F1" s="29"/>
      <c r="G1" s="29"/>
      <c r="H1" s="48"/>
      <c r="I1" s="48" t="s">
        <v>3</v>
      </c>
      <c r="J1" s="55"/>
      <c r="K1" s="56"/>
      <c r="L1" s="29"/>
      <c r="M1" s="57"/>
      <c r="N1" s="58"/>
      <c r="O1" s="58"/>
      <c r="P1" s="70"/>
      <c r="Q1" s="70"/>
      <c r="R1" s="71"/>
    </row>
    <row r="2" spans="1:19" ht="16.2" thickBot="1">
      <c r="A2" s="28"/>
      <c r="B2" s="4" t="s">
        <v>4</v>
      </c>
      <c r="C2" s="24" t="s">
        <v>5</v>
      </c>
      <c r="D2" s="24" t="s">
        <v>6</v>
      </c>
      <c r="E2" s="24" t="s">
        <v>7</v>
      </c>
      <c r="F2" s="25" t="s">
        <v>8</v>
      </c>
      <c r="G2" s="29"/>
      <c r="H2" s="49"/>
      <c r="I2" s="15" t="s">
        <v>4</v>
      </c>
      <c r="J2" s="15" t="s">
        <v>9</v>
      </c>
      <c r="K2" s="59" t="s">
        <v>10</v>
      </c>
      <c r="L2" s="38"/>
      <c r="M2" s="38"/>
      <c r="N2" s="39"/>
      <c r="O2" s="39"/>
      <c r="P2" s="44"/>
      <c r="Q2" s="44"/>
      <c r="R2" s="72"/>
      <c r="S2" s="73"/>
    </row>
    <row r="3" spans="1:19" ht="15.6" thickBot="1">
      <c r="A3" s="28"/>
      <c r="B3" s="5" t="s">
        <v>11</v>
      </c>
      <c r="C3" s="26"/>
      <c r="D3" s="26"/>
      <c r="E3" s="26"/>
      <c r="F3" s="26"/>
      <c r="G3" s="29"/>
      <c r="H3" s="50"/>
      <c r="I3" s="16" t="s">
        <v>12</v>
      </c>
      <c r="J3" s="17"/>
      <c r="K3" s="42"/>
      <c r="L3" s="38"/>
      <c r="M3" s="38"/>
      <c r="N3" s="39"/>
      <c r="O3" s="39"/>
      <c r="P3" s="44"/>
      <c r="Q3" s="44"/>
      <c r="R3" s="72"/>
      <c r="S3" s="22"/>
    </row>
    <row r="4" spans="1:19" ht="15.6" thickBot="1">
      <c r="A4" s="28" t="s">
        <v>55</v>
      </c>
      <c r="B4" s="101">
        <v>43125</v>
      </c>
      <c r="C4" s="27"/>
      <c r="D4" s="27"/>
      <c r="E4" s="27"/>
      <c r="F4" s="27"/>
      <c r="G4" s="29"/>
      <c r="H4" s="50"/>
      <c r="I4" s="99"/>
      <c r="J4" s="12"/>
      <c r="K4" s="36"/>
      <c r="L4" s="100"/>
      <c r="M4" s="100"/>
      <c r="N4" s="40"/>
      <c r="O4" s="40"/>
      <c r="P4" s="45"/>
      <c r="Q4" s="45"/>
      <c r="R4" s="74"/>
      <c r="S4" s="22"/>
    </row>
    <row r="5" spans="1:19">
      <c r="B5" s="101">
        <v>43125</v>
      </c>
      <c r="C5" s="102"/>
      <c r="D5" s="27"/>
      <c r="E5" s="27"/>
      <c r="F5" s="27"/>
      <c r="G5" s="29"/>
      <c r="H5" s="28"/>
      <c r="I5" s="71" t="s">
        <v>54</v>
      </c>
      <c r="J5" s="106">
        <f>DATE(YEAR($B$4),MONTH($B$4),1)</f>
        <v>43101</v>
      </c>
      <c r="K5" s="105"/>
      <c r="L5" s="56"/>
      <c r="M5" s="56"/>
      <c r="N5" s="60"/>
      <c r="O5" s="40"/>
      <c r="P5" s="45"/>
      <c r="Q5" s="45"/>
      <c r="R5" s="74"/>
      <c r="S5" s="22"/>
    </row>
    <row r="6" spans="1:19">
      <c r="A6" s="51" t="s">
        <v>3</v>
      </c>
      <c r="B6" s="28"/>
      <c r="C6" s="29"/>
      <c r="D6" s="29"/>
      <c r="E6" s="29"/>
      <c r="F6" s="29"/>
      <c r="G6" s="29"/>
      <c r="H6" s="28"/>
      <c r="I6" s="48" t="s">
        <v>3</v>
      </c>
      <c r="J6" s="61"/>
      <c r="K6" s="62"/>
      <c r="L6" s="62"/>
      <c r="M6" s="62"/>
      <c r="N6" s="63"/>
      <c r="O6" s="63"/>
      <c r="P6" s="75"/>
      <c r="Q6" s="75"/>
      <c r="R6" s="48"/>
      <c r="S6" s="76"/>
    </row>
    <row r="7" spans="1:19" ht="18" customHeight="1">
      <c r="A7" s="119" t="s">
        <v>13</v>
      </c>
      <c r="B7" s="119" t="s">
        <v>14</v>
      </c>
      <c r="C7" s="118" t="s">
        <v>10</v>
      </c>
      <c r="D7" s="118"/>
      <c r="E7" s="118"/>
      <c r="F7" s="118"/>
      <c r="G7" s="121" t="s">
        <v>15</v>
      </c>
      <c r="H7" s="52"/>
      <c r="I7" s="119" t="s">
        <v>13</v>
      </c>
      <c r="J7" s="117" t="s">
        <v>14</v>
      </c>
      <c r="K7" s="118" t="s">
        <v>10</v>
      </c>
      <c r="L7" s="118"/>
      <c r="M7" s="118"/>
      <c r="N7" s="122" t="s">
        <v>16</v>
      </c>
      <c r="O7" s="123" t="s">
        <v>17</v>
      </c>
      <c r="P7" s="117" t="s">
        <v>18</v>
      </c>
      <c r="Q7" s="124" t="s">
        <v>19</v>
      </c>
      <c r="R7" s="121" t="s">
        <v>15</v>
      </c>
      <c r="S7" s="69"/>
    </row>
    <row r="8" spans="1:19" ht="18" customHeight="1">
      <c r="A8" s="120"/>
      <c r="B8" s="120"/>
      <c r="C8" s="82" t="s">
        <v>5</v>
      </c>
      <c r="D8" s="82" t="s">
        <v>6</v>
      </c>
      <c r="E8" s="82" t="s">
        <v>7</v>
      </c>
      <c r="F8" s="82" t="s">
        <v>20</v>
      </c>
      <c r="G8" s="121"/>
      <c r="H8" s="53"/>
      <c r="I8" s="120"/>
      <c r="J8" s="117"/>
      <c r="K8" s="82" t="s">
        <v>5</v>
      </c>
      <c r="L8" s="82" t="s">
        <v>7</v>
      </c>
      <c r="M8" s="82" t="s">
        <v>20</v>
      </c>
      <c r="N8" s="122"/>
      <c r="O8" s="123"/>
      <c r="P8" s="117"/>
      <c r="Q8" s="124"/>
      <c r="R8" s="121"/>
      <c r="S8" s="69"/>
    </row>
    <row r="9" spans="1:19" ht="18" customHeight="1">
      <c r="A9" s="5" t="s">
        <v>21</v>
      </c>
      <c r="B9" s="5" t="s">
        <v>22</v>
      </c>
      <c r="C9" s="41">
        <f>SUMIFS(日报明细!$J:$J,日报明细!$C:$C,上午日报!C$8,日报明细!$M:$M,上午日报!$B9,日报明细!$R:$R,"&gt;="&amp;上午日报!$B$4,日报明细!$R:$R,"&lt;="&amp;上午日报!$B$5)</f>
        <v>0</v>
      </c>
      <c r="D9" s="41">
        <f>SUMPRODUCT(日报明细!$J:$J,(日报明细!$C:$C=上午日报!D$8)*(日报明细!$M:$M=上午日报!$B9)*(日报明细!$R:$R&gt;=上午日报!$B$4)*(日报明细!$R:$R&lt;=上午日报!$B$5))</f>
        <v>0</v>
      </c>
      <c r="E9" s="41">
        <f>SUMIFS(日报明细!$J:$J,日报明细!$C:$C,上午日报!E$8,日报明细!$M:$M,上午日报!$B9,日报明细!$R:$R,"&gt;="&amp;上午日报!$B$4,日报明细!$R:$R,"&lt;="&amp;上午日报!$B$5)</f>
        <v>1.17</v>
      </c>
      <c r="F9" s="41">
        <f>C9+E9</f>
        <v>1.17</v>
      </c>
      <c r="G9" s="41">
        <f>SUMIFS(日报明细!$H:$H,日报明细!$M:$M,上午日报!$B9,日报明细!$R:$R,"&gt;="&amp;上午日报!$B$4,日报明细!$R:$R,"&lt;="&amp;上午日报!$B$5)</f>
        <v>1.95</v>
      </c>
      <c r="H9" s="53"/>
      <c r="I9" s="5" t="s">
        <v>21</v>
      </c>
      <c r="J9" s="5" t="s">
        <v>22</v>
      </c>
      <c r="K9" s="41">
        <f>SUMIFS(日报明细!$J:$J,日报明细!$C:$C,上午日报!K$8,日报明细!$M:$M,上午日报!$J9,日报明细!$A:$A,"&gt;="&amp;上午日报!$J$5,日报明细!$A:$A,"&lt;="&amp;EOMONTH(上午日报!$J$5,0))</f>
        <v>0</v>
      </c>
      <c r="L9" s="41">
        <f>SUMIFS(日报明细!$J:$J,日报明细!$C:$C,上午日报!L$8,日报明细!$M:$M,上午日报!$J9,日报明细!$A:$A,"&gt;="&amp;上午日报!$J$5,日报明细!$A:$A,"&lt;="&amp;EOMONTH(上午日报!$J$5,0))</f>
        <v>1.17</v>
      </c>
      <c r="M9" s="41">
        <f>K9+L9</f>
        <v>1.17</v>
      </c>
      <c r="N9" s="8">
        <v>1007.1131138500001</v>
      </c>
      <c r="O9" s="43">
        <v>-637.52040284999998</v>
      </c>
      <c r="P9" s="77">
        <v>500</v>
      </c>
      <c r="Q9" s="20">
        <f>M9/P9</f>
        <v>2.3400000000000001E-3</v>
      </c>
      <c r="R9" s="41">
        <f>SUMIFS(日报明细!$H:$H,日报明细!$M:$M,上午日报!$J9,日报明细!$A:$A,"&gt;="&amp;上午日报!$J$5,日报明细!$A:$A,"&lt;="&amp;EOMONTH(上午日报!$J$5,0))</f>
        <v>1.95</v>
      </c>
      <c r="S9" s="69"/>
    </row>
    <row r="10" spans="1:19" ht="18" customHeight="1">
      <c r="A10" s="114" t="s">
        <v>23</v>
      </c>
      <c r="B10" s="115"/>
      <c r="C10" s="54">
        <f>SUM(C9:C9)</f>
        <v>0</v>
      </c>
      <c r="D10" s="54">
        <f>SUM(D9:D9)</f>
        <v>0</v>
      </c>
      <c r="E10" s="54">
        <f>SUM(E9:E9)</f>
        <v>1.17</v>
      </c>
      <c r="F10" s="54">
        <f>SUM(F9:F9)</f>
        <v>1.17</v>
      </c>
      <c r="G10" s="54">
        <f>SUM(G9:G9)</f>
        <v>1.95</v>
      </c>
      <c r="H10" s="53"/>
      <c r="I10" s="116" t="s">
        <v>23</v>
      </c>
      <c r="J10" s="116"/>
      <c r="K10" s="54">
        <f>SUM(K9:K9)</f>
        <v>0</v>
      </c>
      <c r="L10" s="54">
        <f>SUM(L9:L9)</f>
        <v>1.17</v>
      </c>
      <c r="M10" s="54">
        <f>SUM(M9:M9)</f>
        <v>1.17</v>
      </c>
      <c r="N10" s="54">
        <f>SUM(N9:N9)</f>
        <v>1007.1131138500001</v>
      </c>
      <c r="O10" s="54">
        <f>SUM(O9:O9)</f>
        <v>-637.52040284999998</v>
      </c>
      <c r="P10" s="78">
        <v>500</v>
      </c>
      <c r="Q10" s="83">
        <f>M10/P10</f>
        <v>2.3400000000000001E-3</v>
      </c>
      <c r="R10" s="54">
        <f>SUM(R9:R9)</f>
        <v>1.95</v>
      </c>
      <c r="S10" s="69"/>
    </row>
    <row r="11" spans="1:19" ht="18" customHeight="1">
      <c r="A11" s="5" t="s">
        <v>24</v>
      </c>
      <c r="B11" s="109" t="s">
        <v>25</v>
      </c>
      <c r="C11" s="41">
        <f>SUMIFS(日报明细!$J:$J,日报明细!$C:$C,上午日报!C$8,日报明细!$M:$M,上午日报!$B11,日报明细!$R:$R,"&gt;="&amp;上午日报!$B$4,日报明细!$R:$R,"&lt;="&amp;上午日报!$B$5)</f>
        <v>0</v>
      </c>
      <c r="D11" s="41">
        <f>SUMPRODUCT(日报明细!$J:$J,(日报明细!$C:$C=上午日报!D$8)*(日报明细!$M:$M=上午日报!$B11)*(日报明细!$R:$R&gt;=上午日报!$B$4)*(日报明细!$R:$R&lt;=上午日报!$B$5))</f>
        <v>0</v>
      </c>
      <c r="E11" s="41">
        <f>SUMIFS(日报明细!$J:$J,日报明细!$C:$C,上午日报!E$8,日报明细!$M:$M,上午日报!$B11,日报明细!$R:$R,"&gt;="&amp;上午日报!$B$4,日报明细!$R:$R,"&lt;="&amp;上午日报!$B$5)</f>
        <v>0</v>
      </c>
      <c r="F11" s="41">
        <f t="shared" ref="F11:F16" si="0">C11+E11</f>
        <v>0</v>
      </c>
      <c r="G11" s="41">
        <f>SUMIFS(日报明细!$H:$H,日报明细!$M:$M,上午日报!$B11,日报明细!$R:$R,"&gt;="&amp;上午日报!$B$4,日报明细!$R:$R,"&lt;="&amp;上午日报!$B$5)</f>
        <v>0</v>
      </c>
      <c r="H11" s="53"/>
      <c r="I11" s="5" t="s">
        <v>24</v>
      </c>
      <c r="J11" s="109" t="s">
        <v>25</v>
      </c>
      <c r="K11" s="41">
        <f>SUMIFS(日报明细!$J:$J,日报明细!$C:$C,上午日报!K$8,日报明细!$M:$M,上午日报!$J11,日报明细!$A:$A,"&gt;="&amp;上午日报!$J$5,日报明细!$A:$A,"&lt;="&amp;EOMONTH(上午日报!$J$5,0))</f>
        <v>0</v>
      </c>
      <c r="L11" s="41">
        <f>SUMIFS(日报明细!$J:$J,日报明细!$C:$C,上午日报!L$8,日报明细!$M:$M,上午日报!$J11,日报明细!$A:$A,"&gt;="&amp;上午日报!$J$5,日报明细!$A:$A,"&lt;="&amp;EOMONTH(上午日报!$J$5,0))</f>
        <v>0</v>
      </c>
      <c r="M11" s="41">
        <f t="shared" ref="M11:M16" si="1">K11+L11</f>
        <v>0</v>
      </c>
      <c r="N11" s="8">
        <v>808.32</v>
      </c>
      <c r="O11" s="64">
        <v>-301.42966999999999</v>
      </c>
      <c r="P11" s="79">
        <v>1000</v>
      </c>
      <c r="Q11" s="84">
        <f t="shared" ref="Q11:Q18" si="2">M11/P11</f>
        <v>0</v>
      </c>
      <c r="R11" s="41">
        <f>SUMIFS(日报明细!$H:$H,日报明细!$M:$M,上午日报!$J11,日报明细!$A:$A,"&gt;="&amp;上午日报!$J$5,日报明细!$A:$A,"&lt;="&amp;EOMONTH(上午日报!$J$5,0))</f>
        <v>0</v>
      </c>
      <c r="S11" s="69"/>
    </row>
    <row r="12" spans="1:19" ht="18" customHeight="1">
      <c r="A12" s="5" t="s">
        <v>26</v>
      </c>
      <c r="B12" s="5" t="s">
        <v>27</v>
      </c>
      <c r="C12" s="41">
        <f>SUMIFS(日报明细!$J:$J,日报明细!$C:$C,上午日报!C$8,日报明细!$M:$M,上午日报!$B12,日报明细!$R:$R,"&gt;="&amp;上午日报!$B$4,日报明细!$R:$R,"&lt;="&amp;上午日报!$B$5)</f>
        <v>0</v>
      </c>
      <c r="D12" s="41">
        <f>SUMPRODUCT(日报明细!$J:$J,(日报明细!$C:$C=上午日报!D$8)*(日报明细!$M:$M=上午日报!$B12)*(日报明细!$R:$R&gt;=上午日报!$B$4)*(日报明细!$R:$R&lt;=上午日报!$B$5))</f>
        <v>0</v>
      </c>
      <c r="E12" s="41">
        <f>SUMIFS(日报明细!$J:$J,日报明细!$C:$C,上午日报!E$8,日报明细!$M:$M,上午日报!$B12,日报明细!$R:$R,"&gt;="&amp;上午日报!$B$4,日报明细!$R:$R,"&lt;="&amp;上午日报!$B$5)</f>
        <v>0</v>
      </c>
      <c r="F12" s="41">
        <f t="shared" si="0"/>
        <v>0</v>
      </c>
      <c r="G12" s="41">
        <f>SUMIFS(日报明细!$H:$H,日报明细!$M:$M,上午日报!$B12,日报明细!$R:$R,"&gt;="&amp;上午日报!$B$4,日报明细!$R:$R,"&lt;="&amp;上午日报!$B$5)</f>
        <v>0</v>
      </c>
      <c r="H12" s="53"/>
      <c r="I12" s="5" t="s">
        <v>26</v>
      </c>
      <c r="J12" s="5" t="s">
        <v>27</v>
      </c>
      <c r="K12" s="41">
        <f>SUMIFS(日报明细!$J:$J,日报明细!$C:$C,上午日报!K$8,日报明细!$M:$M,上午日报!$J12,日报明细!$A:$A,"&gt;="&amp;上午日报!$J$5,日报明细!$A:$A,"&lt;="&amp;EOMONTH(上午日报!$J$5,0))</f>
        <v>0</v>
      </c>
      <c r="L12" s="41">
        <f>SUMIFS(日报明细!$J:$J,日报明细!$C:$C,上午日报!L$8,日报明细!$M:$M,上午日报!$J12,日报明细!$A:$A,"&gt;="&amp;上午日报!$J$5,日报明细!$A:$A,"&lt;="&amp;EOMONTH(上午日报!$J$5,0))</f>
        <v>0</v>
      </c>
      <c r="M12" s="41">
        <f t="shared" si="1"/>
        <v>0</v>
      </c>
      <c r="N12" s="8">
        <v>786.64</v>
      </c>
      <c r="O12" s="64">
        <v>-163.74651700000004</v>
      </c>
      <c r="P12" s="79">
        <v>1000</v>
      </c>
      <c r="Q12" s="84">
        <f t="shared" si="2"/>
        <v>0</v>
      </c>
      <c r="R12" s="41">
        <f>SUMIFS(日报明细!$H:$H,日报明细!$M:$M,上午日报!$J12,日报明细!$A:$A,"&gt;="&amp;上午日报!$J$5,日报明细!$A:$A,"&lt;="&amp;EOMONTH(上午日报!$J$5,0))</f>
        <v>0</v>
      </c>
      <c r="S12" s="69"/>
    </row>
    <row r="13" spans="1:19" ht="18" customHeight="1">
      <c r="A13" s="5" t="s">
        <v>28</v>
      </c>
      <c r="B13" s="87" t="s">
        <v>29</v>
      </c>
      <c r="C13" s="41">
        <f>SUMIFS(日报明细!$J:$J,日报明细!$C:$C,上午日报!C$8,日报明细!$M:$M,上午日报!$B13,日报明细!$R:$R,"&gt;="&amp;上午日报!$B$4,日报明细!$R:$R,"&lt;="&amp;上午日报!$B$5)</f>
        <v>0</v>
      </c>
      <c r="D13" s="41">
        <f>SUMPRODUCT(日报明细!$J:$J,(日报明细!$C:$C=上午日报!D$8)*(日报明细!$M:$M=上午日报!$B13)*(日报明细!$R:$R&gt;=上午日报!$B$4)*(日报明细!$R:$R&lt;=上午日报!$B$5))</f>
        <v>0</v>
      </c>
      <c r="E13" s="41">
        <f>SUMIFS(日报明细!$J:$J,日报明细!$C:$C,上午日报!E$8,日报明细!$M:$M,上午日报!$B13,日报明细!$R:$R,"&gt;="&amp;上午日报!$B$4,日报明细!$R:$R,"&lt;="&amp;上午日报!$B$5)</f>
        <v>9.6000000000000002E-2</v>
      </c>
      <c r="F13" s="41">
        <f t="shared" si="0"/>
        <v>9.6000000000000002E-2</v>
      </c>
      <c r="G13" s="41">
        <f>SUMIFS(日报明细!$H:$H,日报明细!$M:$M,上午日报!$B13,日报明细!$R:$R,"&gt;="&amp;上午日报!$B$4,日报明细!$R:$R,"&lt;="&amp;上午日报!$B$5)</f>
        <v>0.16</v>
      </c>
      <c r="H13" s="28"/>
      <c r="I13" s="5" t="s">
        <v>53</v>
      </c>
      <c r="J13" s="65" t="s">
        <v>29</v>
      </c>
      <c r="K13" s="41">
        <f>SUMIFS(日报明细!$J:$J,日报明细!$C:$C,上午日报!K$8,日报明细!$M:$M,上午日报!$J13,日报明细!$A:$A,"&gt;="&amp;上午日报!$J$5,日报明细!$A:$A,"&lt;="&amp;EOMONTH(上午日报!$J$5,0))</f>
        <v>0</v>
      </c>
      <c r="L13" s="41">
        <f>SUMIFS(日报明细!$J:$J,日报明细!$C:$C,上午日报!L$8,日报明细!$M:$M,上午日报!$J13,日报明细!$A:$A,"&gt;="&amp;上午日报!$J$5,日报明细!$A:$A,"&lt;="&amp;EOMONTH(上午日报!$J$5,0))</f>
        <v>9.6000000000000002E-2</v>
      </c>
      <c r="M13" s="41">
        <f t="shared" si="1"/>
        <v>9.6000000000000002E-2</v>
      </c>
      <c r="N13" s="8">
        <v>434.7</v>
      </c>
      <c r="O13" s="64">
        <v>-72.216999999999928</v>
      </c>
      <c r="P13" s="79">
        <v>300</v>
      </c>
      <c r="Q13" s="84">
        <f t="shared" si="2"/>
        <v>3.2000000000000003E-4</v>
      </c>
      <c r="R13" s="41">
        <f>SUMIFS(日报明细!$H:$H,日报明细!$M:$M,上午日报!$J13,日报明细!$A:$A,"&gt;="&amp;上午日报!$J$5,日报明细!$A:$A,"&lt;="&amp;EOMONTH(上午日报!$J$5,0))</f>
        <v>0.16</v>
      </c>
      <c r="S13" s="69"/>
    </row>
    <row r="14" spans="1:19" ht="18" customHeight="1">
      <c r="A14" s="5" t="s">
        <v>33</v>
      </c>
      <c r="B14" s="5" t="s">
        <v>34</v>
      </c>
      <c r="C14" s="41">
        <f>SUMIFS(日报明细!$J:$J,日报明细!$C:$C,上午日报!C$8,日报明细!$M:$M,上午日报!$B14,日报明细!$R:$R,"&gt;="&amp;上午日报!$B$4,日报明细!$R:$R,"&lt;="&amp;上午日报!$B$5)</f>
        <v>0</v>
      </c>
      <c r="D14" s="41">
        <f>SUMPRODUCT(日报明细!$J:$J,(日报明细!$C:$C=上午日报!D$8)*(日报明细!$M:$M=上午日报!$B14)*(日报明细!$R:$R&gt;=上午日报!$B$4)*(日报明细!$R:$R&lt;=上午日报!$B$5))</f>
        <v>0</v>
      </c>
      <c r="E14" s="41">
        <f>SUMIFS(日报明细!$J:$J,日报明细!$C:$C,上午日报!E$8,日报明细!$M:$M,上午日报!$B14,日报明细!$R:$R,"&gt;="&amp;上午日报!$B$4,日报明细!$R:$R,"&lt;="&amp;上午日报!$B$5)</f>
        <v>0</v>
      </c>
      <c r="F14" s="41">
        <f t="shared" si="0"/>
        <v>0</v>
      </c>
      <c r="G14" s="41">
        <f>SUMIFS(日报明细!$H:$H,日报明细!$M:$M,上午日报!$B14,日报明细!$R:$R,"&gt;="&amp;上午日报!$B$4,日报明细!$R:$R,"&lt;="&amp;上午日报!$B$5)</f>
        <v>0</v>
      </c>
      <c r="H14" s="28"/>
      <c r="I14" s="5" t="s">
        <v>33</v>
      </c>
      <c r="J14" s="5" t="s">
        <v>34</v>
      </c>
      <c r="K14" s="41">
        <f>SUMIFS(日报明细!$J:$J,日报明细!$C:$C,上午日报!K$8,日报明细!$M:$M,上午日报!$J14,日报明细!$A:$A,"&gt;="&amp;上午日报!$J$5,日报明细!$A:$A,"&lt;="&amp;EOMONTH(上午日报!$J$5,0))</f>
        <v>0</v>
      </c>
      <c r="L14" s="41">
        <f>SUMIFS(日报明细!$J:$J,日报明细!$C:$C,上午日报!L$8,日报明细!$M:$M,上午日报!$J14,日报明细!$A:$A,"&gt;="&amp;上午日报!$J$5,日报明细!$A:$A,"&lt;="&amp;EOMONTH(上午日报!$J$5,0))</f>
        <v>0</v>
      </c>
      <c r="M14" s="41">
        <f t="shared" si="1"/>
        <v>0</v>
      </c>
      <c r="N14" s="8">
        <v>645.12</v>
      </c>
      <c r="O14" s="64">
        <v>-109.10450000000003</v>
      </c>
      <c r="P14" s="79">
        <v>1000</v>
      </c>
      <c r="Q14" s="84">
        <f>M14/P14</f>
        <v>0</v>
      </c>
      <c r="R14" s="41">
        <f>SUMIFS(日报明细!$H:$H,日报明细!$M:$M,上午日报!$J14,日报明细!$A:$A,"&gt;="&amp;上午日报!$J$5,日报明细!$A:$A,"&lt;="&amp;EOMONTH(上午日报!$J$5,0))</f>
        <v>0</v>
      </c>
      <c r="S14" s="69"/>
    </row>
    <row r="15" spans="1:19" ht="18" customHeight="1">
      <c r="A15" s="88" t="s">
        <v>30</v>
      </c>
      <c r="B15" s="87" t="s">
        <v>52</v>
      </c>
      <c r="C15" s="41">
        <f>SUMIFS(日报明细!$J:$J,日报明细!$C:$C,上午日报!C$8,日报明细!$M:$M,上午日报!$B15,日报明细!$R:$R,"&gt;="&amp;上午日报!$B$4,日报明细!$R:$R,"&lt;="&amp;上午日报!$B$5)</f>
        <v>0</v>
      </c>
      <c r="D15" s="41">
        <f>SUMPRODUCT(日报明细!$J:$J,(日报明细!$C:$C=上午日报!D$8)*(日报明细!$M:$M=上午日报!$B15)*(日报明细!$R:$R&gt;=上午日报!$B$4)*(日报明细!$R:$R&lt;=上午日报!$B$5))</f>
        <v>0</v>
      </c>
      <c r="E15" s="41">
        <f>SUMIFS(日报明细!$J:$J,日报明细!$C:$C,上午日报!E$8,日报明细!$M:$M,上午日报!$B15,日报明细!$R:$R,"&gt;="&amp;上午日报!$B$4,日报明细!$R:$R,"&lt;="&amp;上午日报!$B$5)</f>
        <v>0</v>
      </c>
      <c r="F15" s="41">
        <f t="shared" si="0"/>
        <v>0</v>
      </c>
      <c r="G15" s="41">
        <f>SUMIFS(日报明细!$H:$H,日报明细!$M:$M,上午日报!$B15,日报明细!$R:$R,"&gt;="&amp;上午日报!$B$4,日报明细!$R:$R,"&lt;="&amp;上午日报!$B$5)</f>
        <v>0</v>
      </c>
      <c r="H15" s="53"/>
      <c r="I15" s="88" t="s">
        <v>30</v>
      </c>
      <c r="J15" s="87" t="s">
        <v>52</v>
      </c>
      <c r="K15" s="41">
        <f>SUMIFS(日报明细!$J:$J,日报明细!$C:$C,上午日报!K$8,日报明细!$M:$M,上午日报!$J15,日报明细!$A:$A,"&gt;="&amp;上午日报!$J$5,日报明细!$A:$A,"&lt;="&amp;EOMONTH(上午日报!$J$5,0))</f>
        <v>0</v>
      </c>
      <c r="L15" s="41">
        <f>SUMIFS(日报明细!$J:$J,日报明细!$C:$C,上午日报!L$8,日报明细!$M:$M,上午日报!$J15,日报明细!$A:$A,"&gt;="&amp;上午日报!$J$5,日报明细!$A:$A,"&lt;="&amp;EOMONTH(上午日报!$J$5,0))</f>
        <v>0</v>
      </c>
      <c r="M15" s="41">
        <f t="shared" si="1"/>
        <v>0</v>
      </c>
      <c r="N15" s="7">
        <v>556.03</v>
      </c>
      <c r="O15" s="64">
        <v>-374.820224</v>
      </c>
      <c r="P15" s="79">
        <v>500</v>
      </c>
      <c r="Q15" s="84">
        <f t="shared" si="2"/>
        <v>0</v>
      </c>
      <c r="R15" s="41">
        <f>SUMIFS(日报明细!$H:$H,日报明细!$M:$M,上午日报!$J15,日报明细!$A:$A,"&gt;="&amp;上午日报!$J$5,日报明细!$A:$A,"&lt;="&amp;EOMONTH(上午日报!$J$5,0))</f>
        <v>0</v>
      </c>
      <c r="S15" s="69"/>
    </row>
    <row r="16" spans="1:19" ht="18" customHeight="1">
      <c r="A16" s="5" t="s">
        <v>31</v>
      </c>
      <c r="B16" s="109" t="s">
        <v>32</v>
      </c>
      <c r="C16" s="41">
        <f>SUMIFS(日报明细!$J:$J,日报明细!$C:$C,上午日报!C$8,日报明细!$M:$M,上午日报!$B16,日报明细!$R:$R,"&gt;="&amp;上午日报!$B$4,日报明细!$R:$R,"&lt;="&amp;上午日报!$B$5)</f>
        <v>0</v>
      </c>
      <c r="D16" s="41">
        <f>SUMPRODUCT(日报明细!$J:$J,(日报明细!$C:$C=上午日报!D$8)*(日报明细!$M:$M=上午日报!$B16)*(日报明细!$R:$R&gt;=上午日报!$B$4)*(日报明细!$R:$R&lt;=上午日报!$B$5))</f>
        <v>0</v>
      </c>
      <c r="E16" s="41">
        <f>SUMIFS(日报明细!$J:$J,日报明细!$C:$C,上午日报!E$8,日报明细!$M:$M,上午日报!$B16,日报明细!$R:$R,"&gt;="&amp;上午日报!$B$4,日报明细!$R:$R,"&lt;="&amp;上午日报!$B$5)</f>
        <v>0</v>
      </c>
      <c r="F16" s="41">
        <f t="shared" si="0"/>
        <v>0</v>
      </c>
      <c r="G16" s="41">
        <f>SUMIFS(日报明细!$H:$H,日报明细!$M:$M,上午日报!$B16,日报明细!$R:$R,"&gt;="&amp;上午日报!$B$4,日报明细!$R:$R,"&lt;="&amp;上午日报!$B$5)</f>
        <v>0</v>
      </c>
      <c r="H16" s="53"/>
      <c r="I16" s="5" t="s">
        <v>31</v>
      </c>
      <c r="J16" s="109" t="s">
        <v>32</v>
      </c>
      <c r="K16" s="41">
        <f>SUMIFS(日报明细!$J:$J,日报明细!$C:$C,上午日报!K$8,日报明细!$M:$M,上午日报!$J16,日报明细!$A:$A,"&gt;="&amp;上午日报!$J$5,日报明细!$A:$A,"&lt;="&amp;EOMONTH(上午日报!$J$5,0))</f>
        <v>0</v>
      </c>
      <c r="L16" s="41">
        <f>SUMIFS(日报明细!$J:$J,日报明细!$C:$C,上午日报!L$8,日报明细!$M:$M,上午日报!$J16,日报明细!$A:$A,"&gt;="&amp;上午日报!$J$5,日报明细!$A:$A,"&lt;="&amp;EOMONTH(上午日报!$J$5,0))</f>
        <v>0</v>
      </c>
      <c r="M16" s="41">
        <f t="shared" si="1"/>
        <v>0</v>
      </c>
      <c r="N16" s="8">
        <v>672.5</v>
      </c>
      <c r="O16" s="64">
        <v>-397.69626200000005</v>
      </c>
      <c r="P16" s="79">
        <v>500</v>
      </c>
      <c r="Q16" s="84">
        <f t="shared" si="2"/>
        <v>0</v>
      </c>
      <c r="R16" s="41">
        <f>SUMIFS(日报明细!$H:$H,日报明细!$M:$M,上午日报!$J16,日报明细!$A:$A,"&gt;="&amp;上午日报!$J$5,日报明细!$A:$A,"&lt;="&amp;EOMONTH(上午日报!$J$5,0))</f>
        <v>0</v>
      </c>
      <c r="S16" s="69"/>
    </row>
    <row r="17" spans="1:22" ht="18" customHeight="1">
      <c r="A17" s="114" t="s">
        <v>35</v>
      </c>
      <c r="B17" s="115"/>
      <c r="C17" s="54">
        <f>SUM(C11:C16)</f>
        <v>0</v>
      </c>
      <c r="D17" s="54">
        <f t="shared" ref="D17:F17" si="3">SUM(D11:D16)</f>
        <v>0</v>
      </c>
      <c r="E17" s="54">
        <f t="shared" si="3"/>
        <v>9.6000000000000002E-2</v>
      </c>
      <c r="F17" s="54">
        <f t="shared" si="3"/>
        <v>9.6000000000000002E-2</v>
      </c>
      <c r="G17" s="54">
        <f>SUM(G11:G16)</f>
        <v>0.16</v>
      </c>
      <c r="H17" s="52"/>
      <c r="I17" s="116" t="s">
        <v>2902</v>
      </c>
      <c r="J17" s="116"/>
      <c r="K17" s="54">
        <f>SUM(K11:K16)</f>
        <v>0</v>
      </c>
      <c r="L17" s="54">
        <f t="shared" ref="L17:R17" si="4">SUM(L11:L16)</f>
        <v>9.6000000000000002E-2</v>
      </c>
      <c r="M17" s="54">
        <f t="shared" si="4"/>
        <v>9.6000000000000002E-2</v>
      </c>
      <c r="N17" s="54">
        <f t="shared" si="4"/>
        <v>3903.3100000000004</v>
      </c>
      <c r="O17" s="54">
        <f t="shared" si="4"/>
        <v>-1419.014173</v>
      </c>
      <c r="P17" s="78">
        <v>5000</v>
      </c>
      <c r="Q17" s="83">
        <f t="shared" si="2"/>
        <v>1.9199999999999999E-5</v>
      </c>
      <c r="R17" s="54">
        <f t="shared" si="4"/>
        <v>0.16</v>
      </c>
      <c r="S17" s="69"/>
    </row>
    <row r="18" spans="1:22" ht="18" customHeight="1">
      <c r="A18" s="111" t="s">
        <v>36</v>
      </c>
      <c r="B18" s="112"/>
      <c r="C18" s="30">
        <f>SUM(C17,C10)</f>
        <v>0</v>
      </c>
      <c r="D18" s="30">
        <f>SUM(D17,D10)</f>
        <v>0</v>
      </c>
      <c r="E18" s="30">
        <f>SUM(E17,E10)</f>
        <v>1.266</v>
      </c>
      <c r="F18" s="30">
        <f>SUM(F17,F10)</f>
        <v>1.266</v>
      </c>
      <c r="G18" s="30">
        <f>SUM(G17,G10)</f>
        <v>2.11</v>
      </c>
      <c r="H18" s="28"/>
      <c r="I18" s="113" t="s">
        <v>36</v>
      </c>
      <c r="J18" s="113"/>
      <c r="K18" s="30">
        <f>SUM(K17,K10)</f>
        <v>0</v>
      </c>
      <c r="L18" s="30">
        <f>SUM(L17,L10)</f>
        <v>1.266</v>
      </c>
      <c r="M18" s="30">
        <f>SUM(M17,M10)</f>
        <v>1.266</v>
      </c>
      <c r="N18" s="66">
        <v>5540.4331138500002</v>
      </c>
      <c r="O18" s="67">
        <v>-2686.54457585</v>
      </c>
      <c r="P18" s="80">
        <v>5500</v>
      </c>
      <c r="Q18" s="85">
        <f t="shared" si="2"/>
        <v>2.3018181818181818E-4</v>
      </c>
      <c r="R18" s="30">
        <f>SUM(R17,R10)</f>
        <v>2.11</v>
      </c>
      <c r="S18" s="69"/>
    </row>
    <row r="19" spans="1:22" ht="18" customHeight="1">
      <c r="A19" s="9"/>
      <c r="B19" s="9"/>
      <c r="C19" s="31"/>
      <c r="D19" s="31"/>
      <c r="E19" s="31"/>
      <c r="F19" s="31"/>
      <c r="G19" s="31"/>
      <c r="H19" s="103"/>
      <c r="I19" s="104"/>
      <c r="J19" s="104"/>
      <c r="K19" s="2"/>
      <c r="L19" s="2"/>
      <c r="M19" s="2"/>
      <c r="N19" s="2"/>
      <c r="O19" s="2"/>
      <c r="P19" s="2"/>
      <c r="Q19" s="2"/>
      <c r="S19" s="69"/>
    </row>
    <row r="20" spans="1:22" ht="15.6">
      <c r="A20" s="9"/>
      <c r="B20" s="9"/>
      <c r="C20" s="31"/>
      <c r="D20" s="31"/>
      <c r="E20" s="31"/>
      <c r="F20" s="31"/>
      <c r="G20" s="31"/>
      <c r="H20" s="103"/>
      <c r="I20" s="104"/>
      <c r="J20" s="104"/>
      <c r="K20" s="2"/>
      <c r="L20" s="2"/>
      <c r="M20" s="2"/>
      <c r="N20" s="2"/>
      <c r="O20" s="2"/>
      <c r="P20" s="2"/>
      <c r="Q20" s="2"/>
      <c r="R20" s="68"/>
      <c r="S20" s="81"/>
    </row>
    <row r="21" spans="1:22" ht="15.6">
      <c r="A21" s="10"/>
      <c r="B21" s="10"/>
      <c r="C21" s="32"/>
      <c r="D21" s="32"/>
      <c r="E21" s="32"/>
      <c r="F21" s="32"/>
      <c r="G21" s="32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15.6">
      <c r="A22" s="10"/>
      <c r="B22" s="12"/>
      <c r="C22" s="33"/>
      <c r="D22" s="33"/>
      <c r="E22" s="33"/>
      <c r="F22" s="33"/>
      <c r="G22" s="33"/>
      <c r="H22" s="11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</row>
    <row r="23" spans="1:22" ht="15.6">
      <c r="A23" s="10"/>
      <c r="B23" s="12"/>
      <c r="C23" s="33"/>
      <c r="D23" s="33"/>
      <c r="E23" s="33"/>
      <c r="F23" s="33"/>
      <c r="G23" s="33"/>
      <c r="H23" s="11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15.6">
      <c r="A24" s="10"/>
      <c r="B24" s="12"/>
      <c r="C24" s="33"/>
      <c r="D24" s="33"/>
      <c r="E24" s="33"/>
      <c r="F24" s="33"/>
      <c r="G24" s="33"/>
      <c r="H24" s="11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</row>
    <row r="25" spans="1:22" ht="15.6">
      <c r="A25" s="10"/>
      <c r="B25" s="12"/>
      <c r="C25" s="33"/>
      <c r="D25" s="33"/>
      <c r="E25" s="33"/>
      <c r="F25" s="33"/>
      <c r="G25" s="33"/>
      <c r="H25" s="11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ht="15.6">
      <c r="A26" s="10"/>
      <c r="B26" s="12"/>
      <c r="C26" s="33"/>
      <c r="D26" s="33"/>
      <c r="E26" s="33"/>
      <c r="F26" s="33"/>
      <c r="G26" s="33"/>
      <c r="H26" s="11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</row>
    <row r="27" spans="1:22" ht="15.6">
      <c r="A27" s="10"/>
      <c r="B27" s="12"/>
      <c r="C27" s="33"/>
      <c r="D27" s="33"/>
      <c r="E27" s="33"/>
      <c r="F27" s="33"/>
      <c r="G27" s="33"/>
      <c r="H27" s="11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</row>
    <row r="28" spans="1:22" ht="15.6">
      <c r="A28" s="10"/>
      <c r="B28" s="12"/>
      <c r="C28" s="33"/>
      <c r="D28" s="33"/>
      <c r="E28" s="33"/>
      <c r="F28" s="33"/>
      <c r="G28" s="33"/>
      <c r="H28" s="11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</row>
    <row r="29" spans="1:22" ht="15.6">
      <c r="A29" s="10"/>
      <c r="B29" s="12"/>
      <c r="C29" s="33"/>
      <c r="D29" s="33"/>
      <c r="E29" s="33"/>
      <c r="F29" s="33"/>
      <c r="G29" s="33"/>
      <c r="H29" s="11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</row>
    <row r="30" spans="1:22" ht="15.6">
      <c r="A30" s="10"/>
      <c r="B30" s="12"/>
      <c r="C30" s="33"/>
      <c r="D30" s="33"/>
      <c r="E30" s="33"/>
      <c r="F30" s="33"/>
      <c r="G30" s="33"/>
      <c r="H30" s="11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2" ht="15.6">
      <c r="A31" s="10"/>
      <c r="B31" s="12"/>
      <c r="C31" s="33"/>
      <c r="D31" s="33"/>
      <c r="E31" s="33"/>
      <c r="F31" s="33"/>
      <c r="G31" s="33"/>
      <c r="H31" s="11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</row>
    <row r="32" spans="1:22" ht="15.6">
      <c r="A32" s="10"/>
      <c r="B32" s="12"/>
      <c r="C32" s="33"/>
      <c r="D32" s="33"/>
      <c r="E32" s="33"/>
      <c r="F32" s="33"/>
      <c r="G32" s="33"/>
      <c r="H32" s="11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</row>
    <row r="33" spans="1:22" ht="15.6">
      <c r="A33" s="6"/>
      <c r="B33" s="6"/>
      <c r="C33" s="34"/>
      <c r="D33" s="34"/>
      <c r="E33" s="34"/>
      <c r="F33" s="35"/>
      <c r="G33" s="34"/>
      <c r="H33" s="11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3"/>
    </row>
    <row r="34" spans="1:22">
      <c r="A34" s="6"/>
      <c r="B34" s="6"/>
      <c r="C34" s="34"/>
      <c r="D34" s="34"/>
      <c r="E34" s="34"/>
      <c r="F34" s="34"/>
      <c r="G34" s="34"/>
      <c r="H34" s="19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1:22">
      <c r="A35" s="13"/>
      <c r="B35" s="13"/>
      <c r="C35" s="33"/>
      <c r="D35" s="33"/>
      <c r="E35" s="33"/>
      <c r="F35" s="33"/>
      <c r="G35" s="34"/>
      <c r="H35" s="19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1:22">
      <c r="A36" s="6"/>
      <c r="B36" s="6"/>
      <c r="C36" s="34"/>
      <c r="D36" s="34"/>
      <c r="E36" s="34"/>
      <c r="F36" s="34"/>
      <c r="G36" s="37"/>
      <c r="H36" s="18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1:22">
      <c r="A37" s="6"/>
      <c r="B37" s="6"/>
      <c r="C37" s="34"/>
      <c r="D37" s="34"/>
      <c r="E37" s="34"/>
      <c r="F37" s="33"/>
      <c r="G37" s="33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</row>
    <row r="38" spans="1:22">
      <c r="A38" s="12"/>
      <c r="B38" s="13"/>
      <c r="C38" s="33"/>
      <c r="D38" s="33"/>
      <c r="E38" s="33"/>
      <c r="F38" s="33"/>
      <c r="G38" s="33"/>
      <c r="H38" s="6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</row>
    <row r="39" spans="1:22">
      <c r="A39" s="12"/>
      <c r="B39" s="13"/>
      <c r="C39" s="33"/>
      <c r="D39" s="33"/>
      <c r="E39" s="33"/>
      <c r="F39" s="33"/>
      <c r="G39" s="33"/>
      <c r="H39" s="13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</row>
    <row r="40" spans="1:22">
      <c r="B40" s="12"/>
      <c r="C40" s="33"/>
      <c r="D40" s="33"/>
      <c r="E40" s="33"/>
      <c r="F40" s="33"/>
      <c r="G40" s="33"/>
      <c r="H40" s="6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</row>
    <row r="41" spans="1:22">
      <c r="A41" s="13"/>
      <c r="B41" s="6"/>
      <c r="C41" s="34"/>
      <c r="D41" s="34"/>
      <c r="E41" s="34"/>
      <c r="F41" s="35"/>
      <c r="G41" s="33"/>
      <c r="H41" s="13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</row>
    <row r="42" spans="1:22">
      <c r="A42" s="13"/>
      <c r="B42" s="12"/>
      <c r="C42" s="33"/>
      <c r="D42" s="33"/>
      <c r="E42" s="33"/>
      <c r="F42" s="33"/>
      <c r="G42" s="33"/>
      <c r="H42" s="6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2">
      <c r="A43" s="13"/>
      <c r="B43" s="6"/>
      <c r="C43" s="34"/>
      <c r="D43" s="34"/>
      <c r="E43" s="34"/>
      <c r="F43" s="35"/>
      <c r="G43" s="33"/>
      <c r="H43" s="13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</row>
    <row r="44" spans="1:22">
      <c r="A44" s="13"/>
      <c r="B44" s="12"/>
      <c r="C44" s="33"/>
      <c r="D44" s="33"/>
      <c r="E44" s="33"/>
      <c r="F44" s="33"/>
      <c r="G44" s="33"/>
      <c r="H44" s="13"/>
    </row>
    <row r="45" spans="1:22">
      <c r="A45" s="13"/>
      <c r="B45" s="6"/>
      <c r="C45" s="34"/>
      <c r="D45" s="34"/>
      <c r="E45" s="34"/>
      <c r="F45" s="35"/>
      <c r="G45" s="33"/>
    </row>
    <row r="46" spans="1:22">
      <c r="A46" s="13"/>
      <c r="B46" s="12"/>
      <c r="C46" s="33"/>
      <c r="D46" s="33"/>
      <c r="E46" s="33"/>
      <c r="F46" s="33"/>
      <c r="G46" s="33"/>
    </row>
    <row r="47" spans="1:22">
      <c r="A47" s="13"/>
      <c r="B47" s="12"/>
      <c r="C47" s="33"/>
      <c r="D47" s="33"/>
      <c r="E47" s="33"/>
      <c r="F47" s="33"/>
      <c r="G47" s="33"/>
    </row>
    <row r="48" spans="1:22">
      <c r="A48" s="13"/>
      <c r="B48" s="6"/>
      <c r="C48" s="34"/>
      <c r="D48" s="34"/>
      <c r="E48" s="34"/>
      <c r="F48" s="35"/>
      <c r="G48" s="33"/>
    </row>
    <row r="49" spans="1:7">
      <c r="A49" s="13"/>
      <c r="B49" s="6"/>
      <c r="C49" s="34"/>
      <c r="D49" s="34"/>
      <c r="E49" s="34"/>
      <c r="F49" s="34"/>
      <c r="G49" s="33"/>
    </row>
    <row r="50" spans="1:7">
      <c r="A50" s="13"/>
      <c r="B50" s="13"/>
      <c r="C50" s="33"/>
      <c r="D50" s="33"/>
      <c r="E50" s="33"/>
      <c r="F50" s="33"/>
      <c r="G50" s="33"/>
    </row>
    <row r="51" spans="1:7">
      <c r="A51" s="13"/>
      <c r="B51" s="6"/>
      <c r="C51" s="34"/>
      <c r="D51" s="34"/>
      <c r="E51" s="34"/>
      <c r="F51" s="34"/>
      <c r="G51" s="34"/>
    </row>
    <row r="52" spans="1:7">
      <c r="A52" s="13"/>
      <c r="B52" s="6"/>
      <c r="C52" s="36"/>
      <c r="D52" s="36"/>
      <c r="E52" s="36"/>
      <c r="F52" s="36"/>
      <c r="G52" s="37"/>
    </row>
    <row r="53" spans="1:7">
      <c r="A53" s="13"/>
      <c r="B53" s="13"/>
      <c r="C53" s="33"/>
      <c r="D53" s="33"/>
      <c r="E53" s="33"/>
      <c r="F53" s="33"/>
      <c r="G53" s="33"/>
    </row>
    <row r="54" spans="1:7">
      <c r="A54" s="13"/>
      <c r="B54" s="13"/>
      <c r="C54" s="33"/>
      <c r="D54" s="33"/>
      <c r="E54" s="33"/>
      <c r="F54" s="33"/>
      <c r="G54" s="33"/>
    </row>
    <row r="55" spans="1:7">
      <c r="A55" s="13"/>
      <c r="B55" s="13"/>
      <c r="C55" s="33"/>
      <c r="D55" s="33"/>
      <c r="E55" s="33"/>
      <c r="F55" s="33"/>
      <c r="G55" s="33"/>
    </row>
    <row r="56" spans="1:7">
      <c r="A56" s="13"/>
      <c r="B56" s="13"/>
      <c r="C56" s="33"/>
      <c r="D56" s="33"/>
      <c r="E56" s="33"/>
      <c r="F56" s="33"/>
      <c r="G56" s="33"/>
    </row>
    <row r="57" spans="1:7">
      <c r="A57" s="13"/>
    </row>
  </sheetData>
  <mergeCells count="18">
    <mergeCell ref="R7:R8"/>
    <mergeCell ref="N7:N8"/>
    <mergeCell ref="O7:O8"/>
    <mergeCell ref="P7:P8"/>
    <mergeCell ref="K7:M7"/>
    <mergeCell ref="Q7:Q8"/>
    <mergeCell ref="A18:B18"/>
    <mergeCell ref="I18:J18"/>
    <mergeCell ref="A17:B17"/>
    <mergeCell ref="I17:J17"/>
    <mergeCell ref="J7:J8"/>
    <mergeCell ref="C7:F7"/>
    <mergeCell ref="I10:J10"/>
    <mergeCell ref="A10:B10"/>
    <mergeCell ref="A7:A8"/>
    <mergeCell ref="B7:B8"/>
    <mergeCell ref="G7:G8"/>
    <mergeCell ref="I7:I8"/>
  </mergeCells>
  <phoneticPr fontId="13" type="noConversion"/>
  <conditionalFormatting sqref="C9:G9 C11:G16">
    <cfRule type="cellIs" priority="13" operator="equal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altText="开始汇总_x000a_" r:id="rId5">
            <anchor moveWithCells="1">
              <from>
                <xdr:col>4</xdr:col>
                <xdr:colOff>510540</xdr:colOff>
                <xdr:row>3</xdr:row>
                <xdr:rowOff>121920</xdr:rowOff>
              </from>
              <to>
                <xdr:col>6</xdr:col>
                <xdr:colOff>236220</xdr:colOff>
                <xdr:row>5</xdr:row>
                <xdr:rowOff>106680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6</xdr:col>
                <xdr:colOff>350520</xdr:colOff>
                <xdr:row>3</xdr:row>
                <xdr:rowOff>121920</xdr:rowOff>
              </from>
              <to>
                <xdr:col>7</xdr:col>
                <xdr:colOff>556260</xdr:colOff>
                <xdr:row>5</xdr:row>
                <xdr:rowOff>99060</xdr:rowOff>
              </to>
            </anchor>
          </controlPr>
        </control>
      </mc:Choice>
      <mc:Fallback>
        <control shapeId="1027" r:id="rId6" name="CommandButton2"/>
      </mc:Fallback>
    </mc:AlternateContent>
  </controls>
  <webPublishItems count="1">
    <webPublishItem id="28576" divId="汇总表及划扣明细_28576" sourceType="sheet" destinationFile="E:\Trustsaving\Python\offline_weekly_report\汇总表及划扣明细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1B80A-214A-416A-8549-9F814D10CC72}">
  <sheetPr codeName="Sheet3"/>
  <dimension ref="A1:F12"/>
  <sheetViews>
    <sheetView workbookViewId="0">
      <selection activeCell="B10" sqref="B10"/>
    </sheetView>
  </sheetViews>
  <sheetFormatPr defaultRowHeight="14.4"/>
  <cols>
    <col min="1" max="1" width="10.109375" customWidth="1"/>
    <col min="2" max="2" width="13.44140625" customWidth="1"/>
  </cols>
  <sheetData>
    <row r="1" spans="1:6" ht="18" customHeight="1">
      <c r="A1" s="119" t="s">
        <v>13</v>
      </c>
      <c r="B1" s="119" t="s">
        <v>14</v>
      </c>
      <c r="C1" s="118" t="s">
        <v>10</v>
      </c>
      <c r="D1" s="118"/>
      <c r="E1" s="118"/>
      <c r="F1" s="121" t="s">
        <v>15</v>
      </c>
    </row>
    <row r="2" spans="1:6" ht="18" customHeight="1">
      <c r="A2" s="120"/>
      <c r="B2" s="120"/>
      <c r="C2" s="110" t="s">
        <v>5</v>
      </c>
      <c r="D2" s="110" t="s">
        <v>7</v>
      </c>
      <c r="E2" s="110" t="s">
        <v>20</v>
      </c>
      <c r="F2" s="121"/>
    </row>
    <row r="3" spans="1:6" ht="18" customHeight="1">
      <c r="A3" s="5" t="s">
        <v>21</v>
      </c>
      <c r="B3" s="5" t="s">
        <v>22</v>
      </c>
      <c r="C3" s="41">
        <f>SUMIFS(日报明细!$J:$J,日报明细!$C:$C,上午日报!C$8,日报明细!$M:$M,上午日报!$B3,日报明细!$R:$R,"&gt;="&amp;上午日报!$B$4,日报明细!$R:$R,"&lt;="&amp;上午日报!$B$5)</f>
        <v>0</v>
      </c>
      <c r="D3" s="41">
        <f>SUMIFS(日报明细!$J:$J,日报明细!$C:$C,上午日报!E$8,日报明细!$M:$M,上午日报!$B3,日报明细!$R:$R,"&gt;="&amp;上午日报!$B$4,日报明细!$R:$R,"&lt;="&amp;上午日报!$B$5)</f>
        <v>0</v>
      </c>
      <c r="E3" s="41">
        <f>C3+D3</f>
        <v>0</v>
      </c>
      <c r="F3" s="41">
        <f>SUMIFS(日报明细!$H:$H,日报明细!$M:$M,上午日报!$B3,日报明细!$R:$R,"&gt;="&amp;上午日报!$B$4,日报明细!$R:$R,"&lt;="&amp;上午日报!$B$5)</f>
        <v>0</v>
      </c>
    </row>
    <row r="4" spans="1:6" ht="18" customHeight="1">
      <c r="A4" s="114" t="s">
        <v>23</v>
      </c>
      <c r="B4" s="115"/>
      <c r="C4" s="54">
        <f>SUM(C3:C3)</f>
        <v>0</v>
      </c>
      <c r="D4" s="54">
        <f>SUM(D3:D3)</f>
        <v>0</v>
      </c>
      <c r="E4" s="54">
        <f>SUM(E3:E3)</f>
        <v>0</v>
      </c>
      <c r="F4" s="54">
        <f>SUM(F3:F3)</f>
        <v>0</v>
      </c>
    </row>
    <row r="5" spans="1:6" ht="18" customHeight="1">
      <c r="A5" s="5" t="s">
        <v>24</v>
      </c>
      <c r="B5" s="109" t="s">
        <v>25</v>
      </c>
      <c r="C5" s="41">
        <f>SUMIFS(日报明细!$J:$J,日报明细!$C:$C,上午日报!C$8,日报明细!$M:$M,上午日报!$B5,日报明细!$R:$R,"&gt;="&amp;上午日报!$B$4,日报明细!$R:$R,"&lt;="&amp;上午日报!$B$5)</f>
        <v>0</v>
      </c>
      <c r="D5" s="41">
        <f>SUMIFS(日报明细!$J:$J,日报明细!$C:$C,上午日报!E$8,日报明细!$M:$M,上午日报!$B5,日报明细!$R:$R,"&gt;="&amp;上午日报!$B$4,日报明细!$R:$R,"&lt;="&amp;上午日报!$B$5)</f>
        <v>0</v>
      </c>
      <c r="E5" s="41">
        <f t="shared" ref="E5:E10" si="0">C5+D5</f>
        <v>0</v>
      </c>
      <c r="F5" s="41">
        <f>SUMIFS(日报明细!$H:$H,日报明细!$M:$M,上午日报!$B5,日报明细!$R:$R,"&gt;="&amp;上午日报!$B$4,日报明细!$R:$R,"&lt;="&amp;上午日报!$B$5)</f>
        <v>0</v>
      </c>
    </row>
    <row r="6" spans="1:6" ht="18" customHeight="1">
      <c r="A6" s="5" t="s">
        <v>26</v>
      </c>
      <c r="B6" s="5" t="s">
        <v>27</v>
      </c>
      <c r="C6" s="41">
        <f>SUMIFS(日报明细!$J:$J,日报明细!$C:$C,上午日报!C$8,日报明细!$M:$M,上午日报!$B6,日报明细!$R:$R,"&gt;="&amp;上午日报!$B$4,日报明细!$R:$R,"&lt;="&amp;上午日报!$B$5)</f>
        <v>0</v>
      </c>
      <c r="D6" s="41">
        <f>SUMIFS(日报明细!$J:$J,日报明细!$C:$C,上午日报!E$8,日报明细!$M:$M,上午日报!$B6,日报明细!$R:$R,"&gt;="&amp;上午日报!$B$4,日报明细!$R:$R,"&lt;="&amp;上午日报!$B$5)</f>
        <v>0</v>
      </c>
      <c r="E6" s="41">
        <f t="shared" si="0"/>
        <v>0</v>
      </c>
      <c r="F6" s="41">
        <f>SUMIFS(日报明细!$H:$H,日报明细!$M:$M,上午日报!$B6,日报明细!$R:$R,"&gt;="&amp;上午日报!$B$4,日报明细!$R:$R,"&lt;="&amp;上午日报!$B$5)</f>
        <v>0</v>
      </c>
    </row>
    <row r="7" spans="1:6" ht="18" customHeight="1">
      <c r="A7" s="5" t="s">
        <v>28</v>
      </c>
      <c r="B7" s="87" t="s">
        <v>29</v>
      </c>
      <c r="C7" s="41">
        <f>SUMIFS(日报明细!$J:$J,日报明细!$C:$C,上午日报!C$8,日报明细!$M:$M,上午日报!$B7,日报明细!$R:$R,"&gt;="&amp;上午日报!$B$4,日报明细!$R:$R,"&lt;="&amp;上午日报!$B$5)</f>
        <v>0</v>
      </c>
      <c r="D7" s="41">
        <f>SUMIFS(日报明细!$J:$J,日报明细!$C:$C,上午日报!E$8,日报明细!$M:$M,上午日报!$B7,日报明细!$R:$R,"&gt;="&amp;上午日报!$B$4,日报明细!$R:$R,"&lt;="&amp;上午日报!$B$5)</f>
        <v>0</v>
      </c>
      <c r="E7" s="41">
        <f t="shared" si="0"/>
        <v>0</v>
      </c>
      <c r="F7" s="41">
        <f>SUMIFS(日报明细!$H:$H,日报明细!$M:$M,上午日报!$B7,日报明细!$R:$R,"&gt;="&amp;上午日报!$B$4,日报明细!$R:$R,"&lt;="&amp;上午日报!$B$5)</f>
        <v>0</v>
      </c>
    </row>
    <row r="8" spans="1:6" ht="18" customHeight="1">
      <c r="A8" s="5" t="s">
        <v>33</v>
      </c>
      <c r="B8" s="5" t="s">
        <v>34</v>
      </c>
      <c r="C8" s="41">
        <f>SUMIFS(日报明细!$J:$J,日报明细!$C:$C,上午日报!C$8,日报明细!$M:$M,上午日报!$B8,日报明细!$R:$R,"&gt;="&amp;上午日报!$B$4,日报明细!$R:$R,"&lt;="&amp;上午日报!$B$5)</f>
        <v>0</v>
      </c>
      <c r="D8" s="41">
        <f>SUMIFS(日报明细!$J:$J,日报明细!$C:$C,上午日报!E$8,日报明细!$M:$M,上午日报!$B8,日报明细!$R:$R,"&gt;="&amp;上午日报!$B$4,日报明细!$R:$R,"&lt;="&amp;上午日报!$B$5)</f>
        <v>0</v>
      </c>
      <c r="E8" s="41">
        <f t="shared" si="0"/>
        <v>0</v>
      </c>
      <c r="F8" s="41">
        <f>SUMIFS(日报明细!$H:$H,日报明细!$M:$M,上午日报!$B8,日报明细!$R:$R,"&gt;="&amp;上午日报!$B$4,日报明细!$R:$R,"&lt;="&amp;上午日报!$B$5)</f>
        <v>0</v>
      </c>
    </row>
    <row r="9" spans="1:6" ht="18" customHeight="1">
      <c r="A9" s="88" t="s">
        <v>30</v>
      </c>
      <c r="B9" s="87" t="s">
        <v>52</v>
      </c>
      <c r="C9" s="41">
        <f>SUMIFS(日报明细!$J:$J,日报明细!$C:$C,上午日报!C$8,日报明细!$M:$M,上午日报!$B9,日报明细!$R:$R,"&gt;="&amp;上午日报!$B$4,日报明细!$R:$R,"&lt;="&amp;上午日报!$B$5)</f>
        <v>0</v>
      </c>
      <c r="D9" s="41">
        <f>SUMIFS(日报明细!$J:$J,日报明细!$C:$C,上午日报!E$8,日报明细!$M:$M,上午日报!$B9,日报明细!$R:$R,"&gt;="&amp;上午日报!$B$4,日报明细!$R:$R,"&lt;="&amp;上午日报!$B$5)</f>
        <v>1.17</v>
      </c>
      <c r="E9" s="41">
        <f t="shared" si="0"/>
        <v>1.17</v>
      </c>
      <c r="F9" s="41">
        <f>SUMIFS(日报明细!$H:$H,日报明细!$M:$M,上午日报!$B9,日报明细!$R:$R,"&gt;="&amp;上午日报!$B$4,日报明细!$R:$R,"&lt;="&amp;上午日报!$B$5)</f>
        <v>1.95</v>
      </c>
    </row>
    <row r="10" spans="1:6" ht="18" customHeight="1">
      <c r="A10" s="5" t="s">
        <v>31</v>
      </c>
      <c r="B10" s="109" t="s">
        <v>32</v>
      </c>
      <c r="C10" s="41">
        <f>SUMIFS(日报明细!$J:$J,日报明细!$C:$C,上午日报!C$8,日报明细!$M:$M,上午日报!$B10,日报明细!$R:$R,"&gt;="&amp;上午日报!$B$4,日报明细!$R:$R,"&lt;="&amp;上午日报!$B$5)</f>
        <v>0</v>
      </c>
      <c r="D10" s="41">
        <f>SUMIFS(日报明细!$J:$J,日报明细!$C:$C,上午日报!E$8,日报明细!$M:$M,上午日报!$B10,日报明细!$R:$R,"&gt;="&amp;上午日报!$B$4,日报明细!$R:$R,"&lt;="&amp;上午日报!$B$5)</f>
        <v>0</v>
      </c>
      <c r="E10" s="41">
        <f t="shared" si="0"/>
        <v>0</v>
      </c>
      <c r="F10" s="41">
        <f>SUMIFS(日报明细!$H:$H,日报明细!$M:$M,上午日报!$B10,日报明细!$R:$R,"&gt;="&amp;上午日报!$B$4,日报明细!$R:$R,"&lt;="&amp;上午日报!$B$5)</f>
        <v>0</v>
      </c>
    </row>
    <row r="11" spans="1:6" ht="18" customHeight="1">
      <c r="A11" s="114" t="s">
        <v>35</v>
      </c>
      <c r="B11" s="115"/>
      <c r="C11" s="54">
        <f>SUM(C5:C10)</f>
        <v>0</v>
      </c>
      <c r="D11" s="54">
        <f t="shared" ref="D11:E11" si="1">SUM(D5:D10)</f>
        <v>1.17</v>
      </c>
      <c r="E11" s="54">
        <f t="shared" si="1"/>
        <v>1.17</v>
      </c>
      <c r="F11" s="54">
        <f>SUM(F5:F10)</f>
        <v>1.95</v>
      </c>
    </row>
    <row r="12" spans="1:6" ht="18" customHeight="1">
      <c r="A12" s="111" t="s">
        <v>36</v>
      </c>
      <c r="B12" s="112"/>
      <c r="C12" s="30">
        <f>SUM(C11,C4)</f>
        <v>0</v>
      </c>
      <c r="D12" s="30">
        <f>SUM(D11,D4)</f>
        <v>1.17</v>
      </c>
      <c r="E12" s="30">
        <f>SUM(E11,E4)</f>
        <v>1.17</v>
      </c>
      <c r="F12" s="30">
        <f>SUM(F11,F4)</f>
        <v>1.95</v>
      </c>
    </row>
  </sheetData>
  <mergeCells count="7">
    <mergeCell ref="F1:F2"/>
    <mergeCell ref="A12:B12"/>
    <mergeCell ref="A1:A2"/>
    <mergeCell ref="B1:B2"/>
    <mergeCell ref="A4:B4"/>
    <mergeCell ref="A11:B11"/>
    <mergeCell ref="C1:E1"/>
  </mergeCells>
  <conditionalFormatting sqref="C3:F3 C5:F10">
    <cfRule type="cellIs" priority="1" operator="equal">
      <formula>0</formula>
    </cfRule>
  </conditionalFormatting>
  <pageMargins left="0.7" right="0.7" top="0.75" bottom="0.75" header="0.3" footer="0.3"/>
  <webPublishItems count="1">
    <webPublishItem id="13747" divId="汇总表及划扣明细_13747" sourceType="sheet" destinationFile="E:\Trustsaving\Python\offline_weekly_report\mail\日报数据1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824D-22D4-4300-B771-2A71098ECB1A}">
  <sheetPr codeName="Sheet2"/>
  <dimension ref="A1:H12"/>
  <sheetViews>
    <sheetView workbookViewId="0">
      <selection activeCell="D18" sqref="D18"/>
    </sheetView>
  </sheetViews>
  <sheetFormatPr defaultRowHeight="14.4"/>
  <cols>
    <col min="1" max="1" width="11.6640625" style="107" customWidth="1"/>
    <col min="2" max="2" width="12.33203125" style="107" customWidth="1"/>
    <col min="3" max="8" width="8.88671875" style="107"/>
  </cols>
  <sheetData>
    <row r="1" spans="1:8" ht="15.6" customHeight="1">
      <c r="A1" s="119" t="s">
        <v>13</v>
      </c>
      <c r="B1" s="117" t="s">
        <v>14</v>
      </c>
      <c r="C1" s="118" t="s">
        <v>10</v>
      </c>
      <c r="D1" s="118"/>
      <c r="E1" s="118"/>
      <c r="F1" s="122" t="s">
        <v>18</v>
      </c>
      <c r="G1" s="123" t="s">
        <v>19</v>
      </c>
      <c r="H1" s="117" t="s">
        <v>15</v>
      </c>
    </row>
    <row r="2" spans="1:8" ht="18" customHeight="1">
      <c r="A2" s="120"/>
      <c r="B2" s="117"/>
      <c r="C2" s="110" t="s">
        <v>5</v>
      </c>
      <c r="D2" s="110" t="s">
        <v>7</v>
      </c>
      <c r="E2" s="110" t="s">
        <v>20</v>
      </c>
      <c r="F2" s="122"/>
      <c r="G2" s="123"/>
      <c r="H2" s="117"/>
    </row>
    <row r="3" spans="1:8" ht="18" customHeight="1">
      <c r="A3" s="5" t="s">
        <v>21</v>
      </c>
      <c r="B3" s="5" t="s">
        <v>22</v>
      </c>
      <c r="C3" s="41" t="str">
        <f>TEXT(上午日报!K9,"0.0")</f>
        <v>0.0</v>
      </c>
      <c r="D3" s="41" t="str">
        <f>TEXT(上午日报!L9,"0.0")</f>
        <v>1.2</v>
      </c>
      <c r="E3" s="41" t="str">
        <f>TEXT(上午日报!M9,"0.0")</f>
        <v>1.2</v>
      </c>
      <c r="F3" s="8" t="str">
        <f>TEXT(上午日报!P9,"0")</f>
        <v>500</v>
      </c>
      <c r="G3" s="43" t="str">
        <f>TEXT(上午日报!Q9,"0.0%")</f>
        <v>0.2%</v>
      </c>
      <c r="H3" s="77" t="str">
        <f>TEXT(上午日报!R9,"0.0")</f>
        <v>2.0</v>
      </c>
    </row>
    <row r="4" spans="1:8" ht="18" customHeight="1">
      <c r="A4" s="116" t="s">
        <v>23</v>
      </c>
      <c r="B4" s="116"/>
      <c r="C4" s="54" t="str">
        <f>TEXT(上午日报!K10,"0.0")</f>
        <v>0.0</v>
      </c>
      <c r="D4" s="54" t="str">
        <f>TEXT(上午日报!L10,"0.0")</f>
        <v>1.2</v>
      </c>
      <c r="E4" s="54" t="str">
        <f>TEXT(上午日报!M10,"0.0")</f>
        <v>1.2</v>
      </c>
      <c r="F4" s="54" t="str">
        <f>TEXT(上午日报!P10,"0")</f>
        <v>500</v>
      </c>
      <c r="G4" s="54" t="str">
        <f>TEXT(上午日报!Q10,"0.0%")</f>
        <v>0.2%</v>
      </c>
      <c r="H4" s="78" t="str">
        <f>TEXT(上午日报!R10,"0.0")</f>
        <v>2.0</v>
      </c>
    </row>
    <row r="5" spans="1:8" ht="18" customHeight="1">
      <c r="A5" s="5" t="s">
        <v>24</v>
      </c>
      <c r="B5" s="5" t="s">
        <v>25</v>
      </c>
      <c r="C5" s="41" t="str">
        <f>TEXT(上午日报!K11,"0.0")</f>
        <v>0.0</v>
      </c>
      <c r="D5" s="41" t="str">
        <f>TEXT(上午日报!L11,"0.0")</f>
        <v>0.0</v>
      </c>
      <c r="E5" s="41" t="str">
        <f>TEXT(上午日报!M11,"0.0")</f>
        <v>0.0</v>
      </c>
      <c r="F5" s="8" t="str">
        <f>TEXT(上午日报!P11,"0")</f>
        <v>1000</v>
      </c>
      <c r="G5" s="43" t="str">
        <f>TEXT(上午日报!Q11,"0.0%")</f>
        <v>0.0%</v>
      </c>
      <c r="H5" s="77" t="str">
        <f>TEXT(上午日报!R11,"0.0")</f>
        <v>0.0</v>
      </c>
    </row>
    <row r="6" spans="1:8" ht="18" customHeight="1">
      <c r="A6" s="5" t="s">
        <v>26</v>
      </c>
      <c r="B6" s="5" t="s">
        <v>27</v>
      </c>
      <c r="C6" s="41" t="str">
        <f>TEXT(上午日报!K12,"0.0")</f>
        <v>0.0</v>
      </c>
      <c r="D6" s="41" t="str">
        <f>TEXT(上午日报!L12,"0.0")</f>
        <v>0.0</v>
      </c>
      <c r="E6" s="41" t="str">
        <f>TEXT(上午日报!M12,"0.0")</f>
        <v>0.0</v>
      </c>
      <c r="F6" s="8" t="str">
        <f>TEXT(上午日报!P12,"0")</f>
        <v>1000</v>
      </c>
      <c r="G6" s="43" t="str">
        <f>TEXT(上午日报!Q12,"0.0%")</f>
        <v>0.0%</v>
      </c>
      <c r="H6" s="77" t="str">
        <f>TEXT(上午日报!R12,"0.0")</f>
        <v>0.0</v>
      </c>
    </row>
    <row r="7" spans="1:8" ht="18" customHeight="1">
      <c r="A7" s="5" t="s">
        <v>28</v>
      </c>
      <c r="B7" s="5" t="s">
        <v>29</v>
      </c>
      <c r="C7" s="41" t="str">
        <f>TEXT(上午日报!K13,"0.0")</f>
        <v>0.0</v>
      </c>
      <c r="D7" s="41" t="str">
        <f>TEXT(上午日报!L13,"0.0")</f>
        <v>0.1</v>
      </c>
      <c r="E7" s="41" t="str">
        <f>TEXT(上午日报!M13,"0.0")</f>
        <v>0.1</v>
      </c>
      <c r="F7" s="8" t="str">
        <f>TEXT(上午日报!P13,"0")</f>
        <v>300</v>
      </c>
      <c r="G7" s="43" t="str">
        <f>TEXT(上午日报!Q13,"0.0%")</f>
        <v>0.0%</v>
      </c>
      <c r="H7" s="77" t="str">
        <f>TEXT(上午日报!R13,"0.0")</f>
        <v>0.2</v>
      </c>
    </row>
    <row r="8" spans="1:8" ht="18" customHeight="1">
      <c r="A8" s="5" t="s">
        <v>33</v>
      </c>
      <c r="B8" s="5" t="s">
        <v>34</v>
      </c>
      <c r="C8" s="41" t="str">
        <f>TEXT(上午日报!K14,"0.0")</f>
        <v>0.0</v>
      </c>
      <c r="D8" s="41" t="str">
        <f>TEXT(上午日报!L14,"0.0")</f>
        <v>0.0</v>
      </c>
      <c r="E8" s="41" t="str">
        <f>TEXT(上午日报!M14,"0.0")</f>
        <v>0.0</v>
      </c>
      <c r="F8" s="8" t="str">
        <f>TEXT(上午日报!P14,"0")</f>
        <v>1000</v>
      </c>
      <c r="G8" s="43" t="str">
        <f>TEXT(上午日报!Q14,"0.0%")</f>
        <v>0.0%</v>
      </c>
      <c r="H8" s="77" t="str">
        <f>TEXT(上午日报!R14,"0.0")</f>
        <v>0.0</v>
      </c>
    </row>
    <row r="9" spans="1:8" ht="18" customHeight="1">
      <c r="A9" s="5" t="s">
        <v>30</v>
      </c>
      <c r="B9" s="5" t="s">
        <v>52</v>
      </c>
      <c r="C9" s="41" t="str">
        <f>TEXT(上午日报!K15,"0.0")</f>
        <v>0.0</v>
      </c>
      <c r="D9" s="41" t="str">
        <f>TEXT(上午日报!L15,"0.0")</f>
        <v>0.0</v>
      </c>
      <c r="E9" s="41" t="str">
        <f>TEXT(上午日报!M15,"0.0")</f>
        <v>0.0</v>
      </c>
      <c r="F9" s="8" t="str">
        <f>TEXT(上午日报!P15,"0")</f>
        <v>500</v>
      </c>
      <c r="G9" s="43" t="str">
        <f>TEXT(上午日报!Q15,"0.0%")</f>
        <v>0.0%</v>
      </c>
      <c r="H9" s="77" t="str">
        <f>TEXT(上午日报!R15,"0.0")</f>
        <v>0.0</v>
      </c>
    </row>
    <row r="10" spans="1:8" ht="18" customHeight="1">
      <c r="A10" s="5" t="s">
        <v>31</v>
      </c>
      <c r="B10" s="5" t="s">
        <v>32</v>
      </c>
      <c r="C10" s="41" t="str">
        <f>TEXT(上午日报!K16,"0.0")</f>
        <v>0.0</v>
      </c>
      <c r="D10" s="41" t="str">
        <f>TEXT(上午日报!L16,"0.0")</f>
        <v>0.0</v>
      </c>
      <c r="E10" s="41" t="str">
        <f>TEXT(上午日报!M16,"0.0")</f>
        <v>0.0</v>
      </c>
      <c r="F10" s="8" t="str">
        <f>TEXT(上午日报!P16,"0")</f>
        <v>500</v>
      </c>
      <c r="G10" s="43" t="str">
        <f>TEXT(上午日报!Q16,"0.0%")</f>
        <v>0.0%</v>
      </c>
      <c r="H10" s="77" t="str">
        <f>TEXT(上午日报!R16,"0.0")</f>
        <v>0.0</v>
      </c>
    </row>
    <row r="11" spans="1:8" ht="18" customHeight="1">
      <c r="A11" s="116" t="s">
        <v>35</v>
      </c>
      <c r="B11" s="116"/>
      <c r="C11" s="54" t="str">
        <f>TEXT(上午日报!K17,"0.0")</f>
        <v>0.0</v>
      </c>
      <c r="D11" s="54" t="str">
        <f>TEXT(上午日报!L17,"0.0")</f>
        <v>0.1</v>
      </c>
      <c r="E11" s="54" t="str">
        <f>TEXT(上午日报!M17,"0.0")</f>
        <v>0.1</v>
      </c>
      <c r="F11" s="54" t="str">
        <f>TEXT(上午日报!P17,"0")</f>
        <v>5000</v>
      </c>
      <c r="G11" s="54" t="str">
        <f>TEXT(上午日报!Q17,"0.0%")</f>
        <v>0.0%</v>
      </c>
      <c r="H11" s="78" t="str">
        <f>TEXT(上午日报!R17,"0.0")</f>
        <v>0.2</v>
      </c>
    </row>
    <row r="12" spans="1:8" ht="18" customHeight="1">
      <c r="A12" s="113" t="s">
        <v>36</v>
      </c>
      <c r="B12" s="113"/>
      <c r="C12" s="30" t="str">
        <f>TEXT(上午日报!K18,"0.0")</f>
        <v>0.0</v>
      </c>
      <c r="D12" s="30" t="str">
        <f>TEXT(上午日报!L18,"0.0")</f>
        <v>1.3</v>
      </c>
      <c r="E12" s="30" t="str">
        <f>TEXT(上午日报!M18,"0.0")</f>
        <v>1.3</v>
      </c>
      <c r="F12" s="66" t="str">
        <f>TEXT(上午日报!P18,"0")</f>
        <v>5500</v>
      </c>
      <c r="G12" s="67" t="str">
        <f>TEXT(上午日报!Q18,"0.0%")</f>
        <v>0.0%</v>
      </c>
      <c r="H12" s="80" t="str">
        <f>TEXT(上午日报!R18,"0.0")</f>
        <v>2.1</v>
      </c>
    </row>
  </sheetData>
  <mergeCells count="9">
    <mergeCell ref="A12:B12"/>
    <mergeCell ref="G1:G2"/>
    <mergeCell ref="H1:H2"/>
    <mergeCell ref="A4:B4"/>
    <mergeCell ref="A11:B11"/>
    <mergeCell ref="A1:A2"/>
    <mergeCell ref="B1:B2"/>
    <mergeCell ref="C1:E1"/>
    <mergeCell ref="F1:F2"/>
  </mergeCells>
  <pageMargins left="0.7" right="0.7" top="0.75" bottom="0.75" header="0.3" footer="0.3"/>
  <webPublishItems count="1">
    <webPublishItem id="27665" divId="汇总表及划扣明细_27665" sourceType="sheet" destinationFile="E:\Trustsaving\Python\offline_weekly_report\mail\日报数据2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V1308"/>
  <sheetViews>
    <sheetView zoomScaleNormal="100" workbookViewId="0">
      <pane ySplit="1" topLeftCell="A1291" activePane="bottomLeft" state="frozen"/>
      <selection activeCell="E23" sqref="E23"/>
      <selection pane="bottomLeft" activeCell="A1307" sqref="A1307:A1308"/>
    </sheetView>
  </sheetViews>
  <sheetFormatPr defaultColWidth="9" defaultRowHeight="13.2"/>
  <cols>
    <col min="1" max="1" width="13.33203125" style="92" customWidth="1"/>
    <col min="2" max="2" width="9.33203125" style="1" customWidth="1"/>
    <col min="3" max="3" width="7.44140625" style="1" customWidth="1"/>
    <col min="4" max="4" width="22.33203125" style="1" customWidth="1"/>
    <col min="5" max="5" width="18.33203125" style="98" customWidth="1"/>
    <col min="6" max="6" width="7.44140625" style="1" customWidth="1"/>
    <col min="7" max="7" width="14.109375" style="1" bestFit="1" customWidth="1"/>
    <col min="8" max="8" width="8.33203125" style="1" customWidth="1"/>
    <col min="9" max="9" width="15.44140625" style="1" customWidth="1"/>
    <col min="10" max="10" width="7.44140625" style="1" customWidth="1"/>
    <col min="11" max="11" width="7.88671875" style="1" customWidth="1"/>
    <col min="12" max="12" width="14.88671875" style="1" customWidth="1"/>
    <col min="13" max="13" width="12.6640625" style="1" customWidth="1"/>
    <col min="14" max="14" width="10.6640625" style="1" customWidth="1"/>
    <col min="15" max="15" width="6" style="1" customWidth="1"/>
    <col min="16" max="16" width="11.6640625" style="1" customWidth="1"/>
    <col min="17" max="17" width="9.88671875" style="1" customWidth="1"/>
    <col min="18" max="18" width="11.33203125" style="93" customWidth="1"/>
    <col min="19" max="19" width="13.109375" style="93" customWidth="1"/>
    <col min="20" max="20" width="7.44140625" style="94" customWidth="1"/>
    <col min="21" max="21" width="9" style="90"/>
    <col min="22" max="26" width="9" style="91"/>
    <col min="27" max="27" width="9.6640625" style="91" bestFit="1" customWidth="1"/>
    <col min="28" max="16384" width="9" style="91"/>
  </cols>
  <sheetData>
    <row r="1" spans="1:22" s="96" customFormat="1" ht="12">
      <c r="A1" s="89" t="s">
        <v>1938</v>
      </c>
      <c r="B1" s="86" t="s">
        <v>37</v>
      </c>
      <c r="C1" s="86" t="s">
        <v>38</v>
      </c>
      <c r="D1" s="86" t="s">
        <v>39</v>
      </c>
      <c r="E1" s="97" t="s">
        <v>40</v>
      </c>
      <c r="F1" s="86" t="s">
        <v>1</v>
      </c>
      <c r="G1" s="86" t="s">
        <v>0</v>
      </c>
      <c r="H1" s="86" t="s">
        <v>41</v>
      </c>
      <c r="I1" s="86" t="s">
        <v>42</v>
      </c>
      <c r="J1" s="86" t="s">
        <v>2</v>
      </c>
      <c r="K1" s="86" t="s">
        <v>43</v>
      </c>
      <c r="L1" s="86" t="s">
        <v>44</v>
      </c>
      <c r="M1" s="86" t="s">
        <v>45</v>
      </c>
      <c r="N1" s="86" t="s">
        <v>46</v>
      </c>
      <c r="O1" s="86" t="s">
        <v>47</v>
      </c>
      <c r="P1" s="86" t="s">
        <v>48</v>
      </c>
      <c r="Q1" s="86" t="s">
        <v>49</v>
      </c>
      <c r="R1" s="89" t="s">
        <v>1937</v>
      </c>
      <c r="S1" s="89" t="s">
        <v>1936</v>
      </c>
      <c r="T1" s="86" t="s">
        <v>50</v>
      </c>
      <c r="U1" s="95" t="s">
        <v>51</v>
      </c>
      <c r="V1" s="108" t="s">
        <v>2903</v>
      </c>
    </row>
    <row r="2" spans="1:22">
      <c r="A2" s="92">
        <v>43160</v>
      </c>
      <c r="C2" s="1" t="s">
        <v>56</v>
      </c>
      <c r="E2" s="98" t="s">
        <v>1631</v>
      </c>
      <c r="F2" s="1" t="s">
        <v>1632</v>
      </c>
      <c r="G2" s="1">
        <v>13585138906</v>
      </c>
      <c r="H2" s="1">
        <v>0.2</v>
      </c>
      <c r="I2" s="1" t="s">
        <v>1633</v>
      </c>
      <c r="J2" s="1">
        <v>0.02</v>
      </c>
      <c r="K2" s="1" t="s">
        <v>252</v>
      </c>
      <c r="L2" s="1" t="s">
        <v>253</v>
      </c>
      <c r="M2" s="1" t="s">
        <v>94</v>
      </c>
      <c r="N2" s="1" t="s">
        <v>72</v>
      </c>
      <c r="O2" s="1" t="s">
        <v>64</v>
      </c>
      <c r="P2" s="1" t="s">
        <v>95</v>
      </c>
      <c r="R2" s="93">
        <v>43160</v>
      </c>
      <c r="S2" s="93">
        <v>43191</v>
      </c>
    </row>
    <row r="3" spans="1:22">
      <c r="A3" s="92">
        <v>43160</v>
      </c>
      <c r="C3" s="1" t="s">
        <v>56</v>
      </c>
      <c r="E3" s="98" t="s">
        <v>1631</v>
      </c>
      <c r="F3" s="1" t="s">
        <v>1632</v>
      </c>
      <c r="G3" s="1">
        <v>13585138906</v>
      </c>
      <c r="H3" s="1">
        <v>2</v>
      </c>
      <c r="I3" s="1" t="s">
        <v>1633</v>
      </c>
      <c r="J3" s="1">
        <v>0.2</v>
      </c>
      <c r="K3" s="1" t="s">
        <v>252</v>
      </c>
      <c r="L3" s="1" t="s">
        <v>253</v>
      </c>
      <c r="M3" s="1" t="s">
        <v>94</v>
      </c>
      <c r="N3" s="1" t="s">
        <v>72</v>
      </c>
      <c r="O3" s="1" t="s">
        <v>64</v>
      </c>
      <c r="P3" s="1" t="s">
        <v>95</v>
      </c>
      <c r="R3" s="93">
        <v>43160</v>
      </c>
      <c r="S3" s="93">
        <v>43191</v>
      </c>
    </row>
    <row r="4" spans="1:22">
      <c r="A4" s="92">
        <v>43160</v>
      </c>
      <c r="C4" s="1" t="s">
        <v>56</v>
      </c>
      <c r="E4" s="98" t="s">
        <v>1631</v>
      </c>
      <c r="F4" s="1" t="s">
        <v>1632</v>
      </c>
      <c r="G4" s="1">
        <v>13585138906</v>
      </c>
      <c r="H4" s="1">
        <v>3</v>
      </c>
      <c r="I4" s="1" t="s">
        <v>1633</v>
      </c>
      <c r="J4" s="1">
        <v>0.3</v>
      </c>
      <c r="K4" s="1" t="s">
        <v>252</v>
      </c>
      <c r="L4" s="1" t="s">
        <v>253</v>
      </c>
      <c r="M4" s="1" t="s">
        <v>94</v>
      </c>
      <c r="N4" s="1" t="s">
        <v>72</v>
      </c>
      <c r="O4" s="1" t="s">
        <v>64</v>
      </c>
      <c r="P4" s="1" t="s">
        <v>95</v>
      </c>
      <c r="R4" s="93">
        <v>43160</v>
      </c>
      <c r="S4" s="93">
        <v>43191</v>
      </c>
    </row>
    <row r="5" spans="1:22">
      <c r="A5" s="92">
        <v>43160</v>
      </c>
      <c r="C5" s="1" t="s">
        <v>56</v>
      </c>
      <c r="E5" s="98" t="s">
        <v>1162</v>
      </c>
      <c r="F5" s="1" t="s">
        <v>1163</v>
      </c>
      <c r="G5" s="1">
        <v>13921410763</v>
      </c>
      <c r="H5" s="1">
        <v>0.5</v>
      </c>
      <c r="I5" s="1" t="s">
        <v>1633</v>
      </c>
      <c r="J5" s="1">
        <v>0.05</v>
      </c>
      <c r="K5" s="1" t="s">
        <v>89</v>
      </c>
      <c r="L5" s="1" t="s">
        <v>70</v>
      </c>
      <c r="M5" s="1" t="s">
        <v>71</v>
      </c>
      <c r="N5" s="1" t="s">
        <v>72</v>
      </c>
      <c r="O5" s="1" t="s">
        <v>64</v>
      </c>
      <c r="P5" s="1" t="s">
        <v>73</v>
      </c>
      <c r="R5" s="93">
        <v>43160</v>
      </c>
      <c r="S5" s="93">
        <v>43191</v>
      </c>
    </row>
    <row r="6" spans="1:22">
      <c r="A6" s="92">
        <v>43160</v>
      </c>
      <c r="C6" s="1" t="s">
        <v>56</v>
      </c>
      <c r="E6" s="98" t="s">
        <v>1162</v>
      </c>
      <c r="F6" s="1" t="s">
        <v>1163</v>
      </c>
      <c r="G6" s="1">
        <v>13921410763</v>
      </c>
      <c r="H6" s="1">
        <v>0.5</v>
      </c>
      <c r="I6" s="1" t="s">
        <v>1633</v>
      </c>
      <c r="J6" s="1">
        <v>0.05</v>
      </c>
      <c r="K6" s="1" t="s">
        <v>89</v>
      </c>
      <c r="L6" s="1" t="s">
        <v>70</v>
      </c>
      <c r="M6" s="1" t="s">
        <v>71</v>
      </c>
      <c r="N6" s="1" t="s">
        <v>72</v>
      </c>
      <c r="O6" s="1" t="s">
        <v>64</v>
      </c>
      <c r="P6" s="1" t="s">
        <v>73</v>
      </c>
      <c r="R6" s="93">
        <v>43160</v>
      </c>
      <c r="S6" s="93">
        <v>43191</v>
      </c>
    </row>
    <row r="7" spans="1:22">
      <c r="A7" s="92">
        <v>43160</v>
      </c>
      <c r="C7" s="1" t="s">
        <v>56</v>
      </c>
      <c r="E7" s="98" t="s">
        <v>1634</v>
      </c>
      <c r="F7" s="1" t="s">
        <v>1635</v>
      </c>
      <c r="G7" s="1">
        <v>13814182238</v>
      </c>
      <c r="H7" s="1">
        <v>0.5</v>
      </c>
      <c r="I7" s="1" t="s">
        <v>1633</v>
      </c>
      <c r="J7" s="1">
        <v>0.05</v>
      </c>
      <c r="K7" s="1" t="s">
        <v>89</v>
      </c>
      <c r="L7" s="1" t="s">
        <v>70</v>
      </c>
      <c r="M7" s="1" t="s">
        <v>71</v>
      </c>
      <c r="N7" s="1" t="s">
        <v>72</v>
      </c>
      <c r="O7" s="1" t="s">
        <v>64</v>
      </c>
      <c r="P7" s="1" t="s">
        <v>73</v>
      </c>
      <c r="R7" s="93">
        <v>43160</v>
      </c>
      <c r="S7" s="93">
        <v>43191</v>
      </c>
    </row>
    <row r="8" spans="1:22">
      <c r="A8" s="92">
        <v>43160</v>
      </c>
      <c r="C8" s="1" t="s">
        <v>56</v>
      </c>
      <c r="E8" s="98" t="s">
        <v>1636</v>
      </c>
      <c r="F8" s="1" t="s">
        <v>1637</v>
      </c>
      <c r="G8" s="1">
        <v>13914770583</v>
      </c>
      <c r="H8" s="1">
        <v>0.05</v>
      </c>
      <c r="I8" s="1" t="s">
        <v>1633</v>
      </c>
      <c r="J8" s="1">
        <v>5.0000000000000001E-3</v>
      </c>
      <c r="K8" s="1" t="s">
        <v>1373</v>
      </c>
      <c r="L8" s="1" t="s">
        <v>253</v>
      </c>
      <c r="M8" s="1" t="s">
        <v>94</v>
      </c>
      <c r="N8" s="1" t="s">
        <v>72</v>
      </c>
      <c r="O8" s="1" t="s">
        <v>64</v>
      </c>
      <c r="P8" s="1" t="s">
        <v>95</v>
      </c>
      <c r="R8" s="93">
        <v>43160</v>
      </c>
      <c r="S8" s="93">
        <v>43191</v>
      </c>
    </row>
    <row r="9" spans="1:22">
      <c r="A9" s="92">
        <v>43160</v>
      </c>
      <c r="C9" s="1" t="s">
        <v>56</v>
      </c>
      <c r="E9" s="98" t="s">
        <v>1634</v>
      </c>
      <c r="F9" s="1" t="s">
        <v>1635</v>
      </c>
      <c r="G9" s="1">
        <v>13814182238</v>
      </c>
      <c r="H9" s="1">
        <v>0.1</v>
      </c>
      <c r="I9" s="1" t="s">
        <v>1633</v>
      </c>
      <c r="J9" s="1">
        <v>0.01</v>
      </c>
      <c r="K9" s="1" t="s">
        <v>89</v>
      </c>
      <c r="L9" s="1" t="s">
        <v>70</v>
      </c>
      <c r="M9" s="1" t="s">
        <v>71</v>
      </c>
      <c r="N9" s="1" t="s">
        <v>72</v>
      </c>
      <c r="O9" s="1" t="s">
        <v>64</v>
      </c>
      <c r="P9" s="1" t="s">
        <v>73</v>
      </c>
      <c r="R9" s="93">
        <v>43160</v>
      </c>
      <c r="S9" s="93">
        <v>43191</v>
      </c>
    </row>
    <row r="10" spans="1:22">
      <c r="A10" s="92">
        <v>43160</v>
      </c>
      <c r="C10" s="1" t="s">
        <v>56</v>
      </c>
      <c r="E10" s="98" t="s">
        <v>1640</v>
      </c>
      <c r="F10" s="1" t="s">
        <v>536</v>
      </c>
      <c r="G10" s="1">
        <v>13851956065</v>
      </c>
      <c r="H10" s="1">
        <v>1</v>
      </c>
      <c r="I10" s="1" t="s">
        <v>1633</v>
      </c>
      <c r="J10" s="1">
        <v>0.1</v>
      </c>
      <c r="K10" s="1" t="s">
        <v>536</v>
      </c>
      <c r="L10" s="1" t="s">
        <v>193</v>
      </c>
      <c r="M10" s="1" t="s">
        <v>62</v>
      </c>
      <c r="N10" s="1" t="s">
        <v>63</v>
      </c>
      <c r="O10" s="1" t="s">
        <v>64</v>
      </c>
      <c r="P10" s="1" t="s">
        <v>65</v>
      </c>
      <c r="R10" s="93">
        <v>43160</v>
      </c>
      <c r="S10" s="93">
        <v>43191</v>
      </c>
    </row>
    <row r="11" spans="1:22">
      <c r="A11" s="92">
        <v>43160</v>
      </c>
      <c r="C11" s="1" t="s">
        <v>56</v>
      </c>
      <c r="E11" s="98" t="s">
        <v>357</v>
      </c>
      <c r="F11" s="1" t="s">
        <v>358</v>
      </c>
      <c r="G11" s="1">
        <v>17702505917</v>
      </c>
      <c r="H11" s="1">
        <v>0.1</v>
      </c>
      <c r="I11" s="1" t="s">
        <v>1633</v>
      </c>
      <c r="J11" s="1">
        <v>0.01</v>
      </c>
      <c r="K11" s="1" t="s">
        <v>358</v>
      </c>
      <c r="L11" s="1" t="s">
        <v>117</v>
      </c>
      <c r="M11" s="1" t="s">
        <v>2661</v>
      </c>
      <c r="N11" s="1" t="s">
        <v>72</v>
      </c>
      <c r="O11" s="1" t="s">
        <v>64</v>
      </c>
      <c r="P11" s="1" t="s">
        <v>53</v>
      </c>
      <c r="R11" s="93">
        <v>43160</v>
      </c>
      <c r="S11" s="93">
        <v>43191</v>
      </c>
    </row>
    <row r="12" spans="1:22">
      <c r="A12" s="92">
        <v>43160</v>
      </c>
      <c r="C12" s="1" t="s">
        <v>56</v>
      </c>
      <c r="E12" s="98" t="s">
        <v>1634</v>
      </c>
      <c r="F12" s="1" t="s">
        <v>1635</v>
      </c>
      <c r="G12" s="1">
        <v>13814182238</v>
      </c>
      <c r="H12" s="1">
        <v>0.5</v>
      </c>
      <c r="I12" s="1" t="s">
        <v>1633</v>
      </c>
      <c r="J12" s="1">
        <v>0.05</v>
      </c>
      <c r="K12" s="1" t="s">
        <v>89</v>
      </c>
      <c r="L12" s="1" t="s">
        <v>70</v>
      </c>
      <c r="M12" s="1" t="s">
        <v>71</v>
      </c>
      <c r="N12" s="1" t="s">
        <v>72</v>
      </c>
      <c r="O12" s="1" t="s">
        <v>64</v>
      </c>
      <c r="P12" s="1" t="s">
        <v>73</v>
      </c>
      <c r="R12" s="93">
        <v>43160</v>
      </c>
      <c r="S12" s="93">
        <v>43191</v>
      </c>
    </row>
    <row r="13" spans="1:22">
      <c r="A13" s="92">
        <v>43160</v>
      </c>
      <c r="C13" s="1" t="s">
        <v>56</v>
      </c>
      <c r="E13" s="98" t="s">
        <v>357</v>
      </c>
      <c r="F13" s="1" t="s">
        <v>358</v>
      </c>
      <c r="G13" s="1">
        <v>17702505917</v>
      </c>
      <c r="H13" s="1">
        <v>0.09</v>
      </c>
      <c r="I13" s="1" t="s">
        <v>1633</v>
      </c>
      <c r="J13" s="1">
        <v>8.9999999999999993E-3</v>
      </c>
      <c r="K13" s="1" t="s">
        <v>358</v>
      </c>
      <c r="L13" s="1" t="s">
        <v>117</v>
      </c>
      <c r="M13" s="1" t="s">
        <v>2661</v>
      </c>
      <c r="N13" s="1" t="s">
        <v>72</v>
      </c>
      <c r="O13" s="1" t="s">
        <v>64</v>
      </c>
      <c r="P13" s="1" t="s">
        <v>53</v>
      </c>
      <c r="R13" s="93">
        <v>43160</v>
      </c>
      <c r="S13" s="93">
        <v>43191</v>
      </c>
    </row>
    <row r="14" spans="1:22">
      <c r="A14" s="92">
        <v>43160</v>
      </c>
      <c r="C14" s="1" t="s">
        <v>56</v>
      </c>
      <c r="E14" s="98" t="s">
        <v>1634</v>
      </c>
      <c r="F14" s="1" t="s">
        <v>1635</v>
      </c>
      <c r="G14" s="1">
        <v>13814182238</v>
      </c>
      <c r="H14" s="1">
        <v>0.6</v>
      </c>
      <c r="I14" s="1" t="s">
        <v>1633</v>
      </c>
      <c r="J14" s="1">
        <v>0.06</v>
      </c>
      <c r="K14" s="1" t="s">
        <v>89</v>
      </c>
      <c r="L14" s="1" t="s">
        <v>70</v>
      </c>
      <c r="M14" s="1" t="s">
        <v>71</v>
      </c>
      <c r="N14" s="1" t="s">
        <v>72</v>
      </c>
      <c r="O14" s="1" t="s">
        <v>64</v>
      </c>
      <c r="P14" s="1" t="s">
        <v>73</v>
      </c>
      <c r="R14" s="93">
        <v>43160</v>
      </c>
      <c r="S14" s="93">
        <v>43191</v>
      </c>
    </row>
    <row r="15" spans="1:22">
      <c r="A15" s="92">
        <v>43160</v>
      </c>
      <c r="C15" s="1" t="s">
        <v>56</v>
      </c>
      <c r="E15" s="98" t="s">
        <v>357</v>
      </c>
      <c r="F15" s="1" t="s">
        <v>358</v>
      </c>
      <c r="G15" s="1">
        <v>17702505917</v>
      </c>
      <c r="H15" s="1">
        <v>0.5</v>
      </c>
      <c r="I15" s="1" t="s">
        <v>1633</v>
      </c>
      <c r="J15" s="1">
        <v>0.05</v>
      </c>
      <c r="K15" s="1" t="s">
        <v>358</v>
      </c>
      <c r="L15" s="1" t="s">
        <v>117</v>
      </c>
      <c r="M15" s="1" t="s">
        <v>2661</v>
      </c>
      <c r="N15" s="1" t="s">
        <v>72</v>
      </c>
      <c r="O15" s="1" t="s">
        <v>64</v>
      </c>
      <c r="P15" s="1" t="s">
        <v>53</v>
      </c>
      <c r="R15" s="93">
        <v>43160</v>
      </c>
      <c r="S15" s="93">
        <v>43191</v>
      </c>
    </row>
    <row r="16" spans="1:22">
      <c r="A16" s="92">
        <v>43160</v>
      </c>
      <c r="C16" s="1" t="s">
        <v>56</v>
      </c>
      <c r="E16" s="98" t="s">
        <v>357</v>
      </c>
      <c r="F16" s="1" t="s">
        <v>358</v>
      </c>
      <c r="G16" s="1">
        <v>17702505917</v>
      </c>
      <c r="H16" s="1">
        <v>0.05</v>
      </c>
      <c r="I16" s="1" t="s">
        <v>1633</v>
      </c>
      <c r="J16" s="1">
        <v>5.0000000000000001E-3</v>
      </c>
      <c r="K16" s="1" t="s">
        <v>358</v>
      </c>
      <c r="L16" s="1" t="s">
        <v>117</v>
      </c>
      <c r="M16" s="1" t="s">
        <v>2661</v>
      </c>
      <c r="N16" s="1" t="s">
        <v>72</v>
      </c>
      <c r="O16" s="1" t="s">
        <v>64</v>
      </c>
      <c r="P16" s="1" t="s">
        <v>53</v>
      </c>
      <c r="R16" s="93">
        <v>43160</v>
      </c>
      <c r="S16" s="93">
        <v>43191</v>
      </c>
    </row>
    <row r="17" spans="1:19">
      <c r="A17" s="92">
        <v>43160</v>
      </c>
      <c r="C17" s="1" t="s">
        <v>56</v>
      </c>
      <c r="E17" s="98" t="s">
        <v>1645</v>
      </c>
      <c r="F17" s="1" t="s">
        <v>1646</v>
      </c>
      <c r="G17" s="1">
        <v>13605163427</v>
      </c>
      <c r="H17" s="1">
        <v>0.01</v>
      </c>
      <c r="I17" s="1" t="s">
        <v>1633</v>
      </c>
      <c r="J17" s="1">
        <v>1E-3</v>
      </c>
      <c r="K17" s="1" t="s">
        <v>175</v>
      </c>
      <c r="L17" s="1" t="s">
        <v>131</v>
      </c>
      <c r="M17" s="1" t="s">
        <v>132</v>
      </c>
      <c r="N17" s="1" t="s">
        <v>72</v>
      </c>
      <c r="O17" s="1" t="s">
        <v>64</v>
      </c>
      <c r="P17" s="1" t="s">
        <v>133</v>
      </c>
      <c r="R17" s="93">
        <v>43160</v>
      </c>
      <c r="S17" s="93">
        <v>43191</v>
      </c>
    </row>
    <row r="18" spans="1:19">
      <c r="A18" s="92">
        <v>43160</v>
      </c>
      <c r="C18" s="1" t="s">
        <v>56</v>
      </c>
      <c r="E18" s="98" t="s">
        <v>571</v>
      </c>
      <c r="F18" s="1" t="s">
        <v>572</v>
      </c>
      <c r="G18" s="1">
        <v>13770901144</v>
      </c>
      <c r="H18" s="1">
        <v>0.01</v>
      </c>
      <c r="I18" s="1" t="s">
        <v>1633</v>
      </c>
      <c r="J18" s="1">
        <v>1E-3</v>
      </c>
      <c r="K18" s="1" t="s">
        <v>124</v>
      </c>
      <c r="L18" s="1" t="s">
        <v>117</v>
      </c>
      <c r="M18" s="1" t="s">
        <v>2661</v>
      </c>
      <c r="N18" s="1" t="s">
        <v>72</v>
      </c>
      <c r="O18" s="1" t="s">
        <v>64</v>
      </c>
      <c r="P18" s="1" t="s">
        <v>53</v>
      </c>
      <c r="R18" s="93">
        <v>43160</v>
      </c>
      <c r="S18" s="93">
        <v>43191</v>
      </c>
    </row>
    <row r="19" spans="1:19">
      <c r="A19" s="92">
        <v>43160</v>
      </c>
      <c r="C19" s="1" t="s">
        <v>56</v>
      </c>
      <c r="E19" s="98" t="s">
        <v>1634</v>
      </c>
      <c r="F19" s="1" t="s">
        <v>1635</v>
      </c>
      <c r="G19" s="1">
        <v>13814182238</v>
      </c>
      <c r="H19" s="1">
        <v>1</v>
      </c>
      <c r="I19" s="1" t="s">
        <v>1633</v>
      </c>
      <c r="J19" s="1">
        <v>0.1</v>
      </c>
      <c r="K19" s="1" t="s">
        <v>89</v>
      </c>
      <c r="L19" s="1" t="s">
        <v>70</v>
      </c>
      <c r="M19" s="1" t="s">
        <v>71</v>
      </c>
      <c r="N19" s="1" t="s">
        <v>72</v>
      </c>
      <c r="O19" s="1" t="s">
        <v>64</v>
      </c>
      <c r="P19" s="1" t="s">
        <v>73</v>
      </c>
      <c r="R19" s="93">
        <v>43160</v>
      </c>
      <c r="S19" s="93">
        <v>43191</v>
      </c>
    </row>
    <row r="20" spans="1:19">
      <c r="A20" s="92">
        <v>43160</v>
      </c>
      <c r="C20" s="1" t="s">
        <v>56</v>
      </c>
      <c r="E20" s="98" t="s">
        <v>1647</v>
      </c>
      <c r="F20" s="1" t="s">
        <v>92</v>
      </c>
      <c r="G20" s="1">
        <v>13605144973</v>
      </c>
      <c r="H20" s="1">
        <v>0.01</v>
      </c>
      <c r="I20" s="1" t="s">
        <v>1633</v>
      </c>
      <c r="J20" s="1">
        <v>1E-3</v>
      </c>
      <c r="K20" s="1" t="s">
        <v>92</v>
      </c>
      <c r="L20" s="1" t="s">
        <v>93</v>
      </c>
      <c r="M20" s="1" t="s">
        <v>94</v>
      </c>
      <c r="N20" s="1" t="s">
        <v>72</v>
      </c>
      <c r="O20" s="1" t="s">
        <v>64</v>
      </c>
      <c r="P20" s="1" t="s">
        <v>95</v>
      </c>
      <c r="R20" s="93">
        <v>43160</v>
      </c>
      <c r="S20" s="93">
        <v>43191</v>
      </c>
    </row>
    <row r="21" spans="1:19">
      <c r="A21" s="92">
        <v>43160</v>
      </c>
      <c r="C21" s="1" t="s">
        <v>56</v>
      </c>
      <c r="E21" s="98" t="s">
        <v>1648</v>
      </c>
      <c r="F21" s="1" t="s">
        <v>1649</v>
      </c>
      <c r="G21" s="1">
        <v>13520602426</v>
      </c>
      <c r="H21" s="1">
        <v>0.3</v>
      </c>
      <c r="I21" s="1" t="s">
        <v>1633</v>
      </c>
      <c r="J21" s="1">
        <v>0.03</v>
      </c>
      <c r="K21" s="1" t="s">
        <v>92</v>
      </c>
      <c r="L21" s="1" t="s">
        <v>93</v>
      </c>
      <c r="M21" s="1" t="s">
        <v>94</v>
      </c>
      <c r="N21" s="1" t="s">
        <v>72</v>
      </c>
      <c r="O21" s="1" t="s">
        <v>64</v>
      </c>
      <c r="P21" s="1" t="s">
        <v>95</v>
      </c>
      <c r="R21" s="93">
        <v>43160</v>
      </c>
      <c r="S21" s="93">
        <v>43191</v>
      </c>
    </row>
    <row r="22" spans="1:19">
      <c r="A22" s="92">
        <v>43160</v>
      </c>
      <c r="C22" s="1" t="s">
        <v>56</v>
      </c>
      <c r="E22" s="98" t="s">
        <v>1002</v>
      </c>
      <c r="F22" s="1" t="s">
        <v>1003</v>
      </c>
      <c r="G22" s="1">
        <v>13952031570</v>
      </c>
      <c r="H22" s="1">
        <v>0.5</v>
      </c>
      <c r="I22" s="1" t="s">
        <v>1633</v>
      </c>
      <c r="J22" s="1">
        <v>0.05</v>
      </c>
      <c r="K22" s="1" t="s">
        <v>584</v>
      </c>
      <c r="L22" s="1" t="s">
        <v>216</v>
      </c>
      <c r="M22" s="1" t="s">
        <v>52</v>
      </c>
      <c r="N22" s="1" t="s">
        <v>63</v>
      </c>
      <c r="O22" s="1" t="s">
        <v>64</v>
      </c>
      <c r="P22" s="1" t="s">
        <v>111</v>
      </c>
      <c r="R22" s="93">
        <v>43160</v>
      </c>
      <c r="S22" s="93">
        <v>43191</v>
      </c>
    </row>
    <row r="23" spans="1:19">
      <c r="A23" s="92">
        <v>43160</v>
      </c>
      <c r="C23" s="1" t="s">
        <v>56</v>
      </c>
      <c r="E23" s="98" t="s">
        <v>357</v>
      </c>
      <c r="F23" s="1" t="s">
        <v>358</v>
      </c>
      <c r="G23" s="1">
        <v>17702505917</v>
      </c>
      <c r="H23" s="1">
        <v>0.05</v>
      </c>
      <c r="I23" s="1" t="s">
        <v>1633</v>
      </c>
      <c r="J23" s="1">
        <v>5.0000000000000001E-3</v>
      </c>
      <c r="K23" s="1" t="s">
        <v>358</v>
      </c>
      <c r="L23" s="1" t="s">
        <v>117</v>
      </c>
      <c r="M23" s="1" t="s">
        <v>2661</v>
      </c>
      <c r="N23" s="1" t="s">
        <v>72</v>
      </c>
      <c r="O23" s="1" t="s">
        <v>64</v>
      </c>
      <c r="P23" s="1" t="s">
        <v>53</v>
      </c>
      <c r="R23" s="93">
        <v>43160</v>
      </c>
      <c r="S23" s="93">
        <v>43191</v>
      </c>
    </row>
    <row r="24" spans="1:19">
      <c r="A24" s="92">
        <v>43160</v>
      </c>
      <c r="C24" s="1" t="s">
        <v>56</v>
      </c>
      <c r="E24" s="98" t="s">
        <v>1002</v>
      </c>
      <c r="F24" s="1" t="s">
        <v>1003</v>
      </c>
      <c r="G24" s="1">
        <v>13952031570</v>
      </c>
      <c r="H24" s="1">
        <v>0.01</v>
      </c>
      <c r="I24" s="1" t="s">
        <v>1633</v>
      </c>
      <c r="J24" s="1">
        <v>1E-3</v>
      </c>
      <c r="K24" s="1" t="s">
        <v>584</v>
      </c>
      <c r="L24" s="1" t="s">
        <v>216</v>
      </c>
      <c r="M24" s="1" t="s">
        <v>52</v>
      </c>
      <c r="N24" s="1" t="s">
        <v>63</v>
      </c>
      <c r="O24" s="1" t="s">
        <v>64</v>
      </c>
      <c r="P24" s="1" t="s">
        <v>111</v>
      </c>
      <c r="R24" s="93">
        <v>43160</v>
      </c>
      <c r="S24" s="93">
        <v>43191</v>
      </c>
    </row>
    <row r="25" spans="1:19">
      <c r="A25" s="92">
        <v>43182</v>
      </c>
      <c r="C25" s="1" t="s">
        <v>56</v>
      </c>
      <c r="E25" s="98" t="s">
        <v>1650</v>
      </c>
      <c r="F25" s="1" t="s">
        <v>1651</v>
      </c>
      <c r="G25" s="1" t="s">
        <v>1968</v>
      </c>
      <c r="H25" s="1">
        <v>3</v>
      </c>
      <c r="I25" s="1" t="s">
        <v>1652</v>
      </c>
      <c r="J25" s="1">
        <v>0.21</v>
      </c>
      <c r="K25" s="1" t="s">
        <v>584</v>
      </c>
      <c r="L25" s="1" t="s">
        <v>216</v>
      </c>
      <c r="M25" s="1" t="s">
        <v>52</v>
      </c>
      <c r="N25" s="1" t="s">
        <v>63</v>
      </c>
      <c r="O25" s="1" t="s">
        <v>64</v>
      </c>
      <c r="P25" s="1" t="s">
        <v>111</v>
      </c>
      <c r="R25" s="93">
        <v>43182</v>
      </c>
      <c r="S25" s="93" t="s">
        <v>2662</v>
      </c>
    </row>
    <row r="26" spans="1:19">
      <c r="A26" s="92">
        <v>43181</v>
      </c>
      <c r="C26" s="1" t="s">
        <v>56</v>
      </c>
      <c r="E26" s="98" t="s">
        <v>1653</v>
      </c>
      <c r="F26" s="1" t="s">
        <v>1654</v>
      </c>
      <c r="G26" s="1" t="s">
        <v>1969</v>
      </c>
      <c r="H26" s="1">
        <v>1</v>
      </c>
      <c r="I26" s="1" t="s">
        <v>1655</v>
      </c>
      <c r="J26" s="1">
        <v>7.0000000000000007E-2</v>
      </c>
      <c r="K26" s="1" t="s">
        <v>105</v>
      </c>
      <c r="L26" s="1" t="s">
        <v>105</v>
      </c>
      <c r="M26" s="1" t="s">
        <v>62</v>
      </c>
      <c r="N26" s="1" t="s">
        <v>63</v>
      </c>
      <c r="O26" s="1" t="s">
        <v>64</v>
      </c>
      <c r="P26" s="1" t="s">
        <v>65</v>
      </c>
      <c r="R26" s="93">
        <v>43181</v>
      </c>
      <c r="S26" s="93" t="s">
        <v>2663</v>
      </c>
    </row>
    <row r="27" spans="1:19">
      <c r="A27" s="92">
        <v>43182</v>
      </c>
      <c r="C27" s="1" t="s">
        <v>56</v>
      </c>
      <c r="E27" s="98" t="s">
        <v>1656</v>
      </c>
      <c r="F27" s="1" t="s">
        <v>1657</v>
      </c>
      <c r="G27" s="1" t="s">
        <v>1970</v>
      </c>
      <c r="H27" s="1">
        <v>0.2</v>
      </c>
      <c r="I27" s="1" t="s">
        <v>1652</v>
      </c>
      <c r="J27" s="1">
        <v>1.4E-2</v>
      </c>
      <c r="K27" s="1" t="s">
        <v>558</v>
      </c>
      <c r="L27" s="1" t="s">
        <v>110</v>
      </c>
      <c r="M27" s="1" t="s">
        <v>52</v>
      </c>
      <c r="N27" s="1" t="s">
        <v>63</v>
      </c>
      <c r="O27" s="1" t="s">
        <v>64</v>
      </c>
      <c r="P27" s="1" t="s">
        <v>111</v>
      </c>
      <c r="R27" s="93">
        <v>43182</v>
      </c>
      <c r="S27" s="93" t="s">
        <v>2662</v>
      </c>
    </row>
    <row r="28" spans="1:19">
      <c r="A28" s="92">
        <v>43177</v>
      </c>
      <c r="C28" s="1" t="s">
        <v>56</v>
      </c>
      <c r="E28" s="98" t="s">
        <v>1658</v>
      </c>
      <c r="F28" s="1" t="s">
        <v>1659</v>
      </c>
      <c r="G28" s="1" t="s">
        <v>1971</v>
      </c>
      <c r="H28" s="1">
        <v>2</v>
      </c>
      <c r="I28" s="1" t="s">
        <v>1660</v>
      </c>
      <c r="J28" s="1">
        <v>0.14000000000000001</v>
      </c>
      <c r="K28" s="1" t="s">
        <v>558</v>
      </c>
      <c r="L28" s="1" t="s">
        <v>110</v>
      </c>
      <c r="M28" s="1" t="s">
        <v>52</v>
      </c>
      <c r="N28" s="1" t="s">
        <v>63</v>
      </c>
      <c r="O28" s="1" t="s">
        <v>64</v>
      </c>
      <c r="P28" s="1" t="s">
        <v>111</v>
      </c>
      <c r="R28" s="93">
        <v>43177</v>
      </c>
      <c r="S28" s="93" t="s">
        <v>2664</v>
      </c>
    </row>
    <row r="29" spans="1:19">
      <c r="A29" s="92">
        <v>43173</v>
      </c>
      <c r="C29" s="1" t="s">
        <v>56</v>
      </c>
      <c r="E29" s="98" t="s">
        <v>1667</v>
      </c>
      <c r="F29" s="1" t="s">
        <v>1668</v>
      </c>
      <c r="G29" s="1" t="s">
        <v>1972</v>
      </c>
      <c r="H29" s="1">
        <v>1</v>
      </c>
      <c r="I29" s="1" t="s">
        <v>1669</v>
      </c>
      <c r="J29" s="1">
        <v>7.0000000000000007E-2</v>
      </c>
      <c r="K29" s="1" t="s">
        <v>164</v>
      </c>
      <c r="L29" s="1" t="s">
        <v>93</v>
      </c>
      <c r="M29" s="1" t="s">
        <v>94</v>
      </c>
      <c r="N29" s="1" t="s">
        <v>72</v>
      </c>
      <c r="O29" s="1" t="s">
        <v>64</v>
      </c>
      <c r="P29" s="1" t="s">
        <v>95</v>
      </c>
      <c r="R29" s="93">
        <v>43173</v>
      </c>
      <c r="S29" s="93" t="s">
        <v>2665</v>
      </c>
    </row>
    <row r="30" spans="1:19">
      <c r="A30" s="92">
        <v>43170</v>
      </c>
      <c r="C30" s="1" t="s">
        <v>56</v>
      </c>
      <c r="E30" s="98" t="s">
        <v>1671</v>
      </c>
      <c r="F30" s="1" t="s">
        <v>1672</v>
      </c>
      <c r="G30" s="1" t="s">
        <v>1973</v>
      </c>
      <c r="H30" s="1">
        <v>2</v>
      </c>
      <c r="I30" s="1" t="s">
        <v>1673</v>
      </c>
      <c r="J30" s="1">
        <v>0.14000000000000001</v>
      </c>
      <c r="K30" s="1" t="s">
        <v>93</v>
      </c>
      <c r="L30" s="1" t="s">
        <v>93</v>
      </c>
      <c r="M30" s="1" t="s">
        <v>94</v>
      </c>
      <c r="N30" s="1" t="s">
        <v>72</v>
      </c>
      <c r="O30" s="1" t="s">
        <v>64</v>
      </c>
      <c r="P30" s="1" t="s">
        <v>95</v>
      </c>
      <c r="R30" s="93">
        <v>43170</v>
      </c>
      <c r="S30" s="93" t="s">
        <v>2666</v>
      </c>
    </row>
    <row r="31" spans="1:19">
      <c r="A31" s="92">
        <v>43170</v>
      </c>
      <c r="C31" s="1" t="s">
        <v>56</v>
      </c>
      <c r="E31" s="98" t="s">
        <v>1671</v>
      </c>
      <c r="F31" s="1" t="s">
        <v>1672</v>
      </c>
      <c r="G31" s="1" t="s">
        <v>1973</v>
      </c>
      <c r="H31" s="1">
        <v>2</v>
      </c>
      <c r="I31" s="1" t="s">
        <v>1673</v>
      </c>
      <c r="J31" s="1">
        <v>0.14000000000000001</v>
      </c>
      <c r="K31" s="1" t="s">
        <v>93</v>
      </c>
      <c r="L31" s="1" t="s">
        <v>93</v>
      </c>
      <c r="M31" s="1" t="s">
        <v>94</v>
      </c>
      <c r="N31" s="1" t="s">
        <v>72</v>
      </c>
      <c r="O31" s="1" t="s">
        <v>64</v>
      </c>
      <c r="P31" s="1" t="s">
        <v>95</v>
      </c>
      <c r="R31" s="93">
        <v>43170</v>
      </c>
      <c r="S31" s="93" t="s">
        <v>2666</v>
      </c>
    </row>
    <row r="32" spans="1:19">
      <c r="A32" s="92">
        <v>43170</v>
      </c>
      <c r="C32" s="1" t="s">
        <v>56</v>
      </c>
      <c r="E32" s="98" t="s">
        <v>1671</v>
      </c>
      <c r="F32" s="1" t="s">
        <v>1672</v>
      </c>
      <c r="G32" s="1" t="s">
        <v>1973</v>
      </c>
      <c r="H32" s="1">
        <v>0.6</v>
      </c>
      <c r="I32" s="1" t="s">
        <v>1673</v>
      </c>
      <c r="J32" s="1">
        <v>4.2000000000000003E-2</v>
      </c>
      <c r="K32" s="1" t="s">
        <v>93</v>
      </c>
      <c r="L32" s="1" t="s">
        <v>93</v>
      </c>
      <c r="M32" s="1" t="s">
        <v>94</v>
      </c>
      <c r="N32" s="1" t="s">
        <v>72</v>
      </c>
      <c r="O32" s="1" t="s">
        <v>64</v>
      </c>
      <c r="P32" s="1" t="s">
        <v>95</v>
      </c>
      <c r="R32" s="93">
        <v>43170</v>
      </c>
      <c r="S32" s="93" t="s">
        <v>2666</v>
      </c>
    </row>
    <row r="33" spans="1:19">
      <c r="A33" s="92">
        <v>43175</v>
      </c>
      <c r="C33" s="1" t="s">
        <v>56</v>
      </c>
      <c r="E33" s="98" t="s">
        <v>1674</v>
      </c>
      <c r="F33" s="1" t="s">
        <v>1675</v>
      </c>
      <c r="G33" s="1" t="s">
        <v>1974</v>
      </c>
      <c r="H33" s="1">
        <v>7.0000000000000007E-2</v>
      </c>
      <c r="I33" s="1" t="s">
        <v>1676</v>
      </c>
      <c r="J33" s="1">
        <v>4.8999999999999998E-3</v>
      </c>
      <c r="K33" s="1" t="s">
        <v>93</v>
      </c>
      <c r="L33" s="1" t="s">
        <v>93</v>
      </c>
      <c r="M33" s="1" t="s">
        <v>94</v>
      </c>
      <c r="N33" s="1" t="s">
        <v>72</v>
      </c>
      <c r="O33" s="1" t="s">
        <v>64</v>
      </c>
      <c r="P33" s="1" t="s">
        <v>95</v>
      </c>
      <c r="R33" s="93">
        <v>43175</v>
      </c>
      <c r="S33" s="93" t="s">
        <v>2667</v>
      </c>
    </row>
    <row r="34" spans="1:19">
      <c r="A34" s="92">
        <v>43183</v>
      </c>
      <c r="C34" s="1" t="s">
        <v>56</v>
      </c>
      <c r="E34" s="98" t="s">
        <v>1677</v>
      </c>
      <c r="F34" s="1" t="s">
        <v>1678</v>
      </c>
      <c r="G34" s="1" t="s">
        <v>1975</v>
      </c>
      <c r="H34" s="1">
        <v>1</v>
      </c>
      <c r="I34" s="1" t="s">
        <v>1666</v>
      </c>
      <c r="J34" s="1">
        <v>7.0000000000000007E-2</v>
      </c>
      <c r="K34" s="1" t="s">
        <v>93</v>
      </c>
      <c r="L34" s="1" t="s">
        <v>93</v>
      </c>
      <c r="M34" s="1" t="s">
        <v>94</v>
      </c>
      <c r="N34" s="1" t="s">
        <v>72</v>
      </c>
      <c r="O34" s="1" t="s">
        <v>64</v>
      </c>
      <c r="P34" s="1" t="s">
        <v>95</v>
      </c>
      <c r="R34" s="93">
        <v>43183</v>
      </c>
      <c r="S34" s="93" t="s">
        <v>2668</v>
      </c>
    </row>
    <row r="35" spans="1:19">
      <c r="A35" s="92">
        <v>43168</v>
      </c>
      <c r="C35" s="1" t="s">
        <v>56</v>
      </c>
      <c r="E35" s="98" t="s">
        <v>1679</v>
      </c>
      <c r="F35" s="1" t="s">
        <v>1680</v>
      </c>
      <c r="G35" s="1" t="s">
        <v>1976</v>
      </c>
      <c r="H35" s="1">
        <v>1</v>
      </c>
      <c r="I35" s="1" t="s">
        <v>1681</v>
      </c>
      <c r="J35" s="1">
        <v>7.0000000000000007E-2</v>
      </c>
      <c r="K35" s="1" t="s">
        <v>93</v>
      </c>
      <c r="L35" s="1" t="s">
        <v>93</v>
      </c>
      <c r="M35" s="1" t="s">
        <v>94</v>
      </c>
      <c r="N35" s="1" t="s">
        <v>72</v>
      </c>
      <c r="O35" s="1" t="s">
        <v>64</v>
      </c>
      <c r="P35" s="1" t="s">
        <v>95</v>
      </c>
      <c r="R35" s="93">
        <v>43168</v>
      </c>
      <c r="S35" s="93" t="s">
        <v>2669</v>
      </c>
    </row>
    <row r="36" spans="1:19">
      <c r="A36" s="92">
        <v>43161</v>
      </c>
      <c r="C36" s="1" t="s">
        <v>56</v>
      </c>
      <c r="E36" s="98" t="s">
        <v>1682</v>
      </c>
      <c r="F36" s="1" t="s">
        <v>1683</v>
      </c>
      <c r="G36" s="1" t="s">
        <v>1977</v>
      </c>
      <c r="H36" s="1">
        <v>25</v>
      </c>
      <c r="I36" s="1" t="s">
        <v>1684</v>
      </c>
      <c r="J36" s="1">
        <v>1.75</v>
      </c>
      <c r="K36" s="1" t="s">
        <v>105</v>
      </c>
      <c r="L36" s="1" t="s">
        <v>105</v>
      </c>
      <c r="M36" s="1" t="s">
        <v>62</v>
      </c>
      <c r="N36" s="1" t="s">
        <v>63</v>
      </c>
      <c r="O36" s="1" t="s">
        <v>64</v>
      </c>
      <c r="P36" s="1" t="s">
        <v>65</v>
      </c>
      <c r="R36" s="93">
        <v>43161</v>
      </c>
      <c r="S36" s="93" t="s">
        <v>2670</v>
      </c>
    </row>
    <row r="37" spans="1:19">
      <c r="A37" s="92">
        <v>43176</v>
      </c>
      <c r="C37" s="1" t="s">
        <v>56</v>
      </c>
      <c r="E37" s="98" t="s">
        <v>1691</v>
      </c>
      <c r="F37" s="1" t="s">
        <v>1692</v>
      </c>
      <c r="G37" s="1" t="s">
        <v>1978</v>
      </c>
      <c r="H37" s="1">
        <v>0.2</v>
      </c>
      <c r="I37" s="1" t="s">
        <v>1693</v>
      </c>
      <c r="J37" s="1">
        <v>1.4E-2</v>
      </c>
      <c r="K37" s="1" t="s">
        <v>201</v>
      </c>
      <c r="L37" s="1" t="s">
        <v>61</v>
      </c>
      <c r="M37" s="1" t="s">
        <v>62</v>
      </c>
      <c r="N37" s="1" t="s">
        <v>63</v>
      </c>
      <c r="O37" s="1" t="s">
        <v>64</v>
      </c>
      <c r="P37" s="1" t="s">
        <v>65</v>
      </c>
      <c r="R37" s="93">
        <v>43176</v>
      </c>
      <c r="S37" s="93" t="s">
        <v>2671</v>
      </c>
    </row>
    <row r="38" spans="1:19">
      <c r="A38" s="92">
        <v>43167</v>
      </c>
      <c r="C38" s="1" t="s">
        <v>56</v>
      </c>
      <c r="E38" s="98" t="s">
        <v>1634</v>
      </c>
      <c r="F38" s="1" t="s">
        <v>1635</v>
      </c>
      <c r="G38" s="1" t="s">
        <v>1979</v>
      </c>
      <c r="H38" s="1">
        <v>0.7</v>
      </c>
      <c r="I38" s="1" t="s">
        <v>1694</v>
      </c>
      <c r="J38" s="1">
        <v>4.8999999999999995E-2</v>
      </c>
      <c r="K38" s="1" t="s">
        <v>89</v>
      </c>
      <c r="L38" s="1" t="s">
        <v>70</v>
      </c>
      <c r="M38" s="1" t="s">
        <v>71</v>
      </c>
      <c r="N38" s="1" t="s">
        <v>72</v>
      </c>
      <c r="O38" s="1" t="s">
        <v>64</v>
      </c>
      <c r="P38" s="1" t="s">
        <v>73</v>
      </c>
      <c r="R38" s="93">
        <v>43167</v>
      </c>
      <c r="S38" s="93" t="s">
        <v>2672</v>
      </c>
    </row>
    <row r="39" spans="1:19">
      <c r="A39" s="92">
        <v>43186</v>
      </c>
      <c r="C39" s="1" t="s">
        <v>56</v>
      </c>
      <c r="E39" s="98" t="s">
        <v>1162</v>
      </c>
      <c r="F39" s="1" t="s">
        <v>1163</v>
      </c>
      <c r="G39" s="1" t="s">
        <v>1980</v>
      </c>
      <c r="H39" s="1">
        <v>3</v>
      </c>
      <c r="I39" s="1" t="s">
        <v>1695</v>
      </c>
      <c r="J39" s="1">
        <v>0.21</v>
      </c>
      <c r="K39" s="1" t="s">
        <v>89</v>
      </c>
      <c r="L39" s="1" t="s">
        <v>70</v>
      </c>
      <c r="M39" s="1" t="s">
        <v>71</v>
      </c>
      <c r="N39" s="1" t="s">
        <v>72</v>
      </c>
      <c r="O39" s="1" t="s">
        <v>64</v>
      </c>
      <c r="P39" s="1" t="s">
        <v>73</v>
      </c>
      <c r="R39" s="93">
        <v>43186</v>
      </c>
      <c r="S39" s="93" t="s">
        <v>2673</v>
      </c>
    </row>
    <row r="40" spans="1:19">
      <c r="A40" s="92">
        <v>43181</v>
      </c>
      <c r="C40" s="1" t="s">
        <v>56</v>
      </c>
      <c r="E40" s="98" t="s">
        <v>1696</v>
      </c>
      <c r="F40" s="1" t="s">
        <v>1697</v>
      </c>
      <c r="G40" s="1" t="s">
        <v>1981</v>
      </c>
      <c r="H40" s="1">
        <v>0.05</v>
      </c>
      <c r="I40" s="1" t="s">
        <v>1686</v>
      </c>
      <c r="J40" s="1">
        <v>3.5000000000000001E-3</v>
      </c>
      <c r="K40" s="1" t="s">
        <v>92</v>
      </c>
      <c r="L40" s="1" t="s">
        <v>93</v>
      </c>
      <c r="M40" s="1" t="s">
        <v>94</v>
      </c>
      <c r="N40" s="1" t="s">
        <v>72</v>
      </c>
      <c r="O40" s="1" t="s">
        <v>64</v>
      </c>
      <c r="P40" s="1" t="s">
        <v>95</v>
      </c>
      <c r="R40" s="93">
        <v>43181</v>
      </c>
      <c r="S40" s="93" t="s">
        <v>2662</v>
      </c>
    </row>
    <row r="41" spans="1:19">
      <c r="A41" s="92">
        <v>43176</v>
      </c>
      <c r="C41" s="1" t="s">
        <v>56</v>
      </c>
      <c r="E41" s="98" t="s">
        <v>1696</v>
      </c>
      <c r="F41" s="1" t="s">
        <v>1697</v>
      </c>
      <c r="G41" s="1" t="s">
        <v>1981</v>
      </c>
      <c r="H41" s="1">
        <v>0.05</v>
      </c>
      <c r="I41" s="1" t="s">
        <v>1698</v>
      </c>
      <c r="J41" s="1">
        <v>3.5000000000000001E-3</v>
      </c>
      <c r="K41" s="1" t="s">
        <v>92</v>
      </c>
      <c r="L41" s="1" t="s">
        <v>93</v>
      </c>
      <c r="M41" s="1" t="s">
        <v>94</v>
      </c>
      <c r="N41" s="1" t="s">
        <v>72</v>
      </c>
      <c r="O41" s="1" t="s">
        <v>64</v>
      </c>
      <c r="P41" s="1" t="s">
        <v>95</v>
      </c>
      <c r="R41" s="93">
        <v>43176</v>
      </c>
      <c r="S41" s="93" t="s">
        <v>2667</v>
      </c>
    </row>
    <row r="42" spans="1:19">
      <c r="A42" s="92">
        <v>43184</v>
      </c>
      <c r="C42" s="1" t="s">
        <v>56</v>
      </c>
      <c r="E42" s="98" t="s">
        <v>1696</v>
      </c>
      <c r="F42" s="1" t="s">
        <v>1697</v>
      </c>
      <c r="G42" s="1" t="s">
        <v>1981</v>
      </c>
      <c r="H42" s="1">
        <v>0.05</v>
      </c>
      <c r="I42" s="1" t="s">
        <v>1699</v>
      </c>
      <c r="J42" s="1">
        <v>3.5000000000000001E-3</v>
      </c>
      <c r="K42" s="1" t="s">
        <v>92</v>
      </c>
      <c r="L42" s="1" t="s">
        <v>93</v>
      </c>
      <c r="M42" s="1" t="s">
        <v>94</v>
      </c>
      <c r="N42" s="1" t="s">
        <v>72</v>
      </c>
      <c r="O42" s="1" t="s">
        <v>64</v>
      </c>
      <c r="P42" s="1" t="s">
        <v>95</v>
      </c>
      <c r="R42" s="93">
        <v>43184</v>
      </c>
      <c r="S42" s="93" t="s">
        <v>2674</v>
      </c>
    </row>
    <row r="43" spans="1:19">
      <c r="A43" s="92">
        <v>43176</v>
      </c>
      <c r="C43" s="1" t="s">
        <v>56</v>
      </c>
      <c r="E43" s="98" t="s">
        <v>1542</v>
      </c>
      <c r="F43" s="1" t="s">
        <v>1543</v>
      </c>
      <c r="G43" s="1" t="s">
        <v>1982</v>
      </c>
      <c r="H43" s="1">
        <v>2</v>
      </c>
      <c r="I43" s="1" t="s">
        <v>1700</v>
      </c>
      <c r="J43" s="1">
        <v>0.14000000000000001</v>
      </c>
      <c r="K43" s="1" t="s">
        <v>277</v>
      </c>
      <c r="L43" s="1" t="s">
        <v>269</v>
      </c>
      <c r="M43" s="1" t="s">
        <v>132</v>
      </c>
      <c r="N43" s="1" t="s">
        <v>72</v>
      </c>
      <c r="O43" s="1" t="s">
        <v>64</v>
      </c>
      <c r="P43" s="1" t="s">
        <v>133</v>
      </c>
      <c r="R43" s="93">
        <v>43176</v>
      </c>
      <c r="S43" s="93" t="s">
        <v>2671</v>
      </c>
    </row>
    <row r="44" spans="1:19">
      <c r="A44" s="92">
        <v>43181</v>
      </c>
      <c r="C44" s="1" t="s">
        <v>56</v>
      </c>
      <c r="E44" s="98" t="s">
        <v>1701</v>
      </c>
      <c r="F44" s="1" t="s">
        <v>1702</v>
      </c>
      <c r="G44" s="1" t="s">
        <v>1983</v>
      </c>
      <c r="H44" s="1">
        <v>0.01</v>
      </c>
      <c r="I44" s="1" t="s">
        <v>1686</v>
      </c>
      <c r="J44" s="1">
        <v>6.9999999999999999E-4</v>
      </c>
      <c r="K44" s="1" t="s">
        <v>247</v>
      </c>
      <c r="L44" s="1" t="s">
        <v>102</v>
      </c>
      <c r="M44" s="1" t="s">
        <v>94</v>
      </c>
      <c r="N44" s="1" t="s">
        <v>72</v>
      </c>
      <c r="O44" s="1" t="s">
        <v>64</v>
      </c>
      <c r="P44" s="1" t="s">
        <v>95</v>
      </c>
      <c r="R44" s="93">
        <v>43181</v>
      </c>
      <c r="S44" s="93" t="s">
        <v>2662</v>
      </c>
    </row>
    <row r="45" spans="1:19">
      <c r="A45" s="92">
        <v>43165</v>
      </c>
      <c r="C45" s="1" t="s">
        <v>56</v>
      </c>
      <c r="E45" s="98" t="s">
        <v>1472</v>
      </c>
      <c r="F45" s="1" t="s">
        <v>1473</v>
      </c>
      <c r="G45" s="1" t="s">
        <v>1984</v>
      </c>
      <c r="H45" s="1">
        <v>0.8</v>
      </c>
      <c r="I45" s="1" t="s">
        <v>1703</v>
      </c>
      <c r="J45" s="1">
        <v>5.6000000000000001E-2</v>
      </c>
      <c r="K45" s="1" t="s">
        <v>653</v>
      </c>
      <c r="L45" s="1" t="s">
        <v>253</v>
      </c>
      <c r="M45" s="1" t="s">
        <v>94</v>
      </c>
      <c r="N45" s="1" t="s">
        <v>72</v>
      </c>
      <c r="O45" s="1" t="s">
        <v>64</v>
      </c>
      <c r="P45" s="1" t="s">
        <v>95</v>
      </c>
      <c r="R45" s="93">
        <v>43165</v>
      </c>
      <c r="S45" s="93" t="s">
        <v>2675</v>
      </c>
    </row>
    <row r="46" spans="1:19">
      <c r="A46" s="92">
        <v>43165</v>
      </c>
      <c r="C46" s="1" t="s">
        <v>56</v>
      </c>
      <c r="E46" s="98" t="s">
        <v>1472</v>
      </c>
      <c r="F46" s="1" t="s">
        <v>1473</v>
      </c>
      <c r="G46" s="1" t="s">
        <v>1984</v>
      </c>
      <c r="H46" s="1">
        <v>0.5</v>
      </c>
      <c r="I46" s="1" t="s">
        <v>1703</v>
      </c>
      <c r="J46" s="1">
        <v>3.5000000000000003E-2</v>
      </c>
      <c r="K46" s="1" t="s">
        <v>653</v>
      </c>
      <c r="L46" s="1" t="s">
        <v>253</v>
      </c>
      <c r="M46" s="1" t="s">
        <v>94</v>
      </c>
      <c r="N46" s="1" t="s">
        <v>72</v>
      </c>
      <c r="O46" s="1" t="s">
        <v>64</v>
      </c>
      <c r="P46" s="1" t="s">
        <v>95</v>
      </c>
      <c r="R46" s="93">
        <v>43165</v>
      </c>
      <c r="S46" s="93" t="s">
        <v>2675</v>
      </c>
    </row>
    <row r="47" spans="1:19">
      <c r="A47" s="92">
        <v>43166</v>
      </c>
      <c r="C47" s="1" t="s">
        <v>56</v>
      </c>
      <c r="E47" s="98" t="s">
        <v>1704</v>
      </c>
      <c r="F47" s="1" t="s">
        <v>1705</v>
      </c>
      <c r="G47" s="1" t="s">
        <v>1985</v>
      </c>
      <c r="H47" s="1">
        <v>0.2</v>
      </c>
      <c r="I47" s="1" t="s">
        <v>1706</v>
      </c>
      <c r="J47" s="1">
        <v>1.4E-2</v>
      </c>
      <c r="K47" s="1" t="s">
        <v>92</v>
      </c>
      <c r="L47" s="1" t="s">
        <v>93</v>
      </c>
      <c r="M47" s="1" t="s">
        <v>94</v>
      </c>
      <c r="N47" s="1" t="s">
        <v>72</v>
      </c>
      <c r="O47" s="1" t="s">
        <v>64</v>
      </c>
      <c r="P47" s="1" t="s">
        <v>95</v>
      </c>
      <c r="R47" s="93">
        <v>43166</v>
      </c>
      <c r="S47" s="93" t="s">
        <v>2676</v>
      </c>
    </row>
    <row r="48" spans="1:19">
      <c r="A48" s="92">
        <v>43178</v>
      </c>
      <c r="C48" s="1" t="s">
        <v>56</v>
      </c>
      <c r="E48" s="98" t="s">
        <v>1704</v>
      </c>
      <c r="F48" s="1" t="s">
        <v>1705</v>
      </c>
      <c r="G48" s="1" t="s">
        <v>1985</v>
      </c>
      <c r="H48" s="1">
        <v>5</v>
      </c>
      <c r="I48" s="1" t="s">
        <v>1707</v>
      </c>
      <c r="J48" s="1">
        <v>0.35</v>
      </c>
      <c r="K48" s="1" t="s">
        <v>92</v>
      </c>
      <c r="L48" s="1" t="s">
        <v>93</v>
      </c>
      <c r="M48" s="1" t="s">
        <v>94</v>
      </c>
      <c r="N48" s="1" t="s">
        <v>72</v>
      </c>
      <c r="O48" s="1" t="s">
        <v>64</v>
      </c>
      <c r="P48" s="1" t="s">
        <v>95</v>
      </c>
      <c r="R48" s="93">
        <v>43178</v>
      </c>
      <c r="S48" s="93" t="s">
        <v>2664</v>
      </c>
    </row>
    <row r="49" spans="1:19">
      <c r="A49" s="92">
        <v>43179</v>
      </c>
      <c r="C49" s="1" t="s">
        <v>56</v>
      </c>
      <c r="E49" s="98" t="s">
        <v>1708</v>
      </c>
      <c r="F49" s="1" t="s">
        <v>1709</v>
      </c>
      <c r="G49" s="1" t="s">
        <v>1986</v>
      </c>
      <c r="H49" s="1">
        <v>3</v>
      </c>
      <c r="I49" s="1" t="s">
        <v>1710</v>
      </c>
      <c r="J49" s="1">
        <v>0.21</v>
      </c>
      <c r="K49" s="1" t="s">
        <v>144</v>
      </c>
      <c r="L49" s="1" t="s">
        <v>93</v>
      </c>
      <c r="M49" s="1" t="s">
        <v>94</v>
      </c>
      <c r="N49" s="1" t="s">
        <v>72</v>
      </c>
      <c r="O49" s="1" t="s">
        <v>64</v>
      </c>
      <c r="P49" s="1" t="s">
        <v>95</v>
      </c>
      <c r="R49" s="93">
        <v>43179</v>
      </c>
      <c r="S49" s="93" t="s">
        <v>2664</v>
      </c>
    </row>
    <row r="50" spans="1:19">
      <c r="A50" s="92">
        <v>43182</v>
      </c>
      <c r="C50" s="1" t="s">
        <v>56</v>
      </c>
      <c r="E50" s="98" t="s">
        <v>1708</v>
      </c>
      <c r="F50" s="1" t="s">
        <v>1709</v>
      </c>
      <c r="G50" s="1" t="s">
        <v>1986</v>
      </c>
      <c r="H50" s="1">
        <v>0.6</v>
      </c>
      <c r="I50" s="1" t="s">
        <v>1711</v>
      </c>
      <c r="J50" s="1">
        <v>4.2000000000000003E-2</v>
      </c>
      <c r="K50" s="1" t="s">
        <v>144</v>
      </c>
      <c r="L50" s="1" t="s">
        <v>93</v>
      </c>
      <c r="M50" s="1" t="s">
        <v>94</v>
      </c>
      <c r="N50" s="1" t="s">
        <v>72</v>
      </c>
      <c r="O50" s="1" t="s">
        <v>64</v>
      </c>
      <c r="P50" s="1" t="s">
        <v>95</v>
      </c>
      <c r="R50" s="93">
        <v>43182</v>
      </c>
      <c r="S50" s="93" t="s">
        <v>2663</v>
      </c>
    </row>
    <row r="51" spans="1:19">
      <c r="A51" s="92">
        <v>43188</v>
      </c>
      <c r="C51" s="1" t="s">
        <v>56</v>
      </c>
      <c r="E51" s="98" t="s">
        <v>1712</v>
      </c>
      <c r="F51" s="1" t="s">
        <v>1713</v>
      </c>
      <c r="G51" s="1" t="s">
        <v>1987</v>
      </c>
      <c r="H51" s="1">
        <v>2.5</v>
      </c>
      <c r="I51" s="1" t="s">
        <v>1714</v>
      </c>
      <c r="J51" s="1">
        <v>0.17499999999999999</v>
      </c>
      <c r="K51" s="1" t="s">
        <v>144</v>
      </c>
      <c r="L51" s="1" t="s">
        <v>93</v>
      </c>
      <c r="M51" s="1" t="s">
        <v>94</v>
      </c>
      <c r="N51" s="1" t="s">
        <v>72</v>
      </c>
      <c r="O51" s="1" t="s">
        <v>64</v>
      </c>
      <c r="P51" s="1" t="s">
        <v>95</v>
      </c>
      <c r="R51" s="93">
        <v>43188</v>
      </c>
      <c r="S51" s="93" t="s">
        <v>2677</v>
      </c>
    </row>
    <row r="52" spans="1:19">
      <c r="A52" s="92">
        <v>43181</v>
      </c>
      <c r="C52" s="1" t="s">
        <v>56</v>
      </c>
      <c r="E52" s="98" t="s">
        <v>1715</v>
      </c>
      <c r="F52" s="1" t="s">
        <v>1716</v>
      </c>
      <c r="G52" s="1" t="s">
        <v>1988</v>
      </c>
      <c r="H52" s="1">
        <v>2</v>
      </c>
      <c r="I52" s="1" t="s">
        <v>1717</v>
      </c>
      <c r="J52" s="1">
        <v>0.14000000000000001</v>
      </c>
      <c r="K52" s="1" t="s">
        <v>1373</v>
      </c>
      <c r="L52" s="1" t="s">
        <v>253</v>
      </c>
      <c r="M52" s="1" t="s">
        <v>94</v>
      </c>
      <c r="N52" s="1" t="s">
        <v>72</v>
      </c>
      <c r="O52" s="1" t="s">
        <v>64</v>
      </c>
      <c r="P52" s="1" t="s">
        <v>95</v>
      </c>
      <c r="R52" s="93">
        <v>43181</v>
      </c>
      <c r="S52" s="93" t="s">
        <v>2678</v>
      </c>
    </row>
    <row r="53" spans="1:19">
      <c r="A53" s="92">
        <v>43174</v>
      </c>
      <c r="C53" s="1" t="s">
        <v>56</v>
      </c>
      <c r="E53" s="98" t="s">
        <v>1718</v>
      </c>
      <c r="F53" s="1" t="s">
        <v>1719</v>
      </c>
      <c r="G53" s="1" t="s">
        <v>1989</v>
      </c>
      <c r="H53" s="1">
        <v>1</v>
      </c>
      <c r="I53" s="1" t="s">
        <v>1720</v>
      </c>
      <c r="J53" s="1">
        <v>7.0000000000000007E-2</v>
      </c>
      <c r="K53" s="1" t="s">
        <v>167</v>
      </c>
      <c r="L53" s="1" t="s">
        <v>117</v>
      </c>
      <c r="M53" s="1" t="s">
        <v>2661</v>
      </c>
      <c r="N53" s="1" t="s">
        <v>72</v>
      </c>
      <c r="O53" s="1" t="s">
        <v>64</v>
      </c>
      <c r="P53" s="1" t="s">
        <v>53</v>
      </c>
      <c r="R53" s="93">
        <v>43174</v>
      </c>
      <c r="S53" s="93" t="s">
        <v>2667</v>
      </c>
    </row>
    <row r="54" spans="1:19">
      <c r="A54" s="92">
        <v>43176</v>
      </c>
      <c r="C54" s="1" t="s">
        <v>56</v>
      </c>
      <c r="E54" s="98" t="s">
        <v>800</v>
      </c>
      <c r="F54" s="1" t="s">
        <v>801</v>
      </c>
      <c r="G54" s="1" t="s">
        <v>1990</v>
      </c>
      <c r="H54" s="1">
        <v>0.01</v>
      </c>
      <c r="I54" s="1" t="s">
        <v>1721</v>
      </c>
      <c r="J54" s="1">
        <v>6.9999999999999999E-4</v>
      </c>
      <c r="K54" s="1" t="s">
        <v>358</v>
      </c>
      <c r="L54" s="1" t="s">
        <v>117</v>
      </c>
      <c r="M54" s="1" t="s">
        <v>2661</v>
      </c>
      <c r="N54" s="1" t="s">
        <v>72</v>
      </c>
      <c r="O54" s="1" t="s">
        <v>64</v>
      </c>
      <c r="P54" s="1" t="s">
        <v>53</v>
      </c>
      <c r="R54" s="93">
        <v>43176</v>
      </c>
      <c r="S54" s="93" t="s">
        <v>2671</v>
      </c>
    </row>
    <row r="55" spans="1:19">
      <c r="A55" s="92">
        <v>43161</v>
      </c>
      <c r="C55" s="1" t="s">
        <v>56</v>
      </c>
      <c r="E55" s="98" t="s">
        <v>800</v>
      </c>
      <c r="F55" s="1" t="s">
        <v>801</v>
      </c>
      <c r="G55" s="1" t="s">
        <v>1990</v>
      </c>
      <c r="H55" s="1">
        <v>0.24</v>
      </c>
      <c r="I55" s="1" t="s">
        <v>1722</v>
      </c>
      <c r="J55" s="1">
        <v>1.6799999999999999E-2</v>
      </c>
      <c r="K55" s="1" t="s">
        <v>358</v>
      </c>
      <c r="L55" s="1" t="s">
        <v>117</v>
      </c>
      <c r="M55" s="1" t="s">
        <v>2661</v>
      </c>
      <c r="N55" s="1" t="s">
        <v>72</v>
      </c>
      <c r="O55" s="1" t="s">
        <v>64</v>
      </c>
      <c r="P55" s="1" t="s">
        <v>53</v>
      </c>
      <c r="R55" s="93">
        <v>43161</v>
      </c>
      <c r="S55" s="93" t="s">
        <v>2679</v>
      </c>
    </row>
    <row r="56" spans="1:19">
      <c r="A56" s="92">
        <v>43171</v>
      </c>
      <c r="C56" s="1" t="s">
        <v>56</v>
      </c>
      <c r="E56" s="98" t="s">
        <v>800</v>
      </c>
      <c r="F56" s="1" t="s">
        <v>801</v>
      </c>
      <c r="G56" s="1" t="s">
        <v>1990</v>
      </c>
      <c r="H56" s="1">
        <v>0.28999999999999998</v>
      </c>
      <c r="I56" s="1" t="s">
        <v>1723</v>
      </c>
      <c r="J56" s="1">
        <v>2.0299999999999999E-2</v>
      </c>
      <c r="K56" s="1" t="s">
        <v>358</v>
      </c>
      <c r="L56" s="1" t="s">
        <v>117</v>
      </c>
      <c r="M56" s="1" t="s">
        <v>2661</v>
      </c>
      <c r="N56" s="1" t="s">
        <v>72</v>
      </c>
      <c r="O56" s="1" t="s">
        <v>64</v>
      </c>
      <c r="P56" s="1" t="s">
        <v>53</v>
      </c>
      <c r="R56" s="93">
        <v>43171</v>
      </c>
      <c r="S56" s="93" t="s">
        <v>2666</v>
      </c>
    </row>
    <row r="57" spans="1:19">
      <c r="A57" s="92">
        <v>43161</v>
      </c>
      <c r="C57" s="1" t="s">
        <v>56</v>
      </c>
      <c r="E57" s="98" t="s">
        <v>800</v>
      </c>
      <c r="F57" s="1" t="s">
        <v>801</v>
      </c>
      <c r="G57" s="1" t="s">
        <v>1990</v>
      </c>
      <c r="H57" s="1">
        <v>0.15</v>
      </c>
      <c r="I57" s="1" t="s">
        <v>1724</v>
      </c>
      <c r="J57" s="1">
        <v>1.0500000000000001E-2</v>
      </c>
      <c r="K57" s="1" t="s">
        <v>358</v>
      </c>
      <c r="L57" s="1" t="s">
        <v>117</v>
      </c>
      <c r="M57" s="1" t="s">
        <v>2661</v>
      </c>
      <c r="N57" s="1" t="s">
        <v>72</v>
      </c>
      <c r="O57" s="1" t="s">
        <v>64</v>
      </c>
      <c r="P57" s="1" t="s">
        <v>53</v>
      </c>
      <c r="R57" s="93">
        <v>43161</v>
      </c>
      <c r="S57" s="93" t="s">
        <v>2670</v>
      </c>
    </row>
    <row r="58" spans="1:19">
      <c r="A58" s="92">
        <v>43175</v>
      </c>
      <c r="C58" s="1" t="s">
        <v>56</v>
      </c>
      <c r="E58" s="98" t="s">
        <v>1725</v>
      </c>
      <c r="F58" s="1" t="s">
        <v>1726</v>
      </c>
      <c r="G58" s="1" t="s">
        <v>1991</v>
      </c>
      <c r="H58" s="1">
        <v>1</v>
      </c>
      <c r="I58" s="1" t="s">
        <v>1727</v>
      </c>
      <c r="J58" s="1">
        <v>7.0000000000000007E-2</v>
      </c>
      <c r="K58" s="1" t="s">
        <v>269</v>
      </c>
      <c r="L58" s="1" t="s">
        <v>269</v>
      </c>
      <c r="M58" s="1" t="s">
        <v>132</v>
      </c>
      <c r="N58" s="1" t="s">
        <v>72</v>
      </c>
      <c r="O58" s="1" t="s">
        <v>64</v>
      </c>
      <c r="P58" s="1" t="s">
        <v>133</v>
      </c>
      <c r="R58" s="93">
        <v>43175</v>
      </c>
      <c r="S58" s="93" t="s">
        <v>2667</v>
      </c>
    </row>
    <row r="59" spans="1:19">
      <c r="A59" s="92">
        <v>43177</v>
      </c>
      <c r="C59" s="1" t="s">
        <v>56</v>
      </c>
      <c r="E59" s="98" t="s">
        <v>438</v>
      </c>
      <c r="F59" s="1" t="s">
        <v>439</v>
      </c>
      <c r="G59" s="1" t="s">
        <v>1992</v>
      </c>
      <c r="H59" s="1">
        <v>2</v>
      </c>
      <c r="I59" s="1" t="s">
        <v>1660</v>
      </c>
      <c r="J59" s="1">
        <v>0.14000000000000001</v>
      </c>
      <c r="K59" s="1" t="s">
        <v>149</v>
      </c>
      <c r="L59" s="1" t="s">
        <v>150</v>
      </c>
      <c r="M59" s="1" t="s">
        <v>132</v>
      </c>
      <c r="N59" s="1" t="s">
        <v>72</v>
      </c>
      <c r="O59" s="1" t="s">
        <v>64</v>
      </c>
      <c r="P59" s="1" t="s">
        <v>133</v>
      </c>
      <c r="R59" s="93">
        <v>43177</v>
      </c>
      <c r="S59" s="93" t="s">
        <v>2664</v>
      </c>
    </row>
    <row r="60" spans="1:19">
      <c r="A60" s="92">
        <v>43171</v>
      </c>
      <c r="C60" s="1" t="s">
        <v>56</v>
      </c>
      <c r="E60" s="98" t="s">
        <v>1728</v>
      </c>
      <c r="F60" s="1" t="s">
        <v>1729</v>
      </c>
      <c r="G60" s="1" t="s">
        <v>1993</v>
      </c>
      <c r="H60" s="1">
        <v>0.05</v>
      </c>
      <c r="I60" s="1" t="s">
        <v>1730</v>
      </c>
      <c r="J60" s="1">
        <v>3.5000000000000001E-3</v>
      </c>
      <c r="K60" s="1" t="s">
        <v>252</v>
      </c>
      <c r="L60" s="1" t="s">
        <v>253</v>
      </c>
      <c r="M60" s="1" t="s">
        <v>94</v>
      </c>
      <c r="N60" s="1" t="s">
        <v>72</v>
      </c>
      <c r="O60" s="1" t="s">
        <v>64</v>
      </c>
      <c r="P60" s="1" t="s">
        <v>95</v>
      </c>
      <c r="R60" s="93">
        <v>43171</v>
      </c>
      <c r="S60" s="93" t="s">
        <v>2680</v>
      </c>
    </row>
    <row r="61" spans="1:19">
      <c r="A61" s="92">
        <v>43178</v>
      </c>
      <c r="C61" s="1" t="s">
        <v>56</v>
      </c>
      <c r="E61" s="98" t="s">
        <v>1728</v>
      </c>
      <c r="F61" s="1" t="s">
        <v>1729</v>
      </c>
      <c r="G61" s="1" t="s">
        <v>1993</v>
      </c>
      <c r="H61" s="1">
        <v>0.05</v>
      </c>
      <c r="I61" s="1" t="s">
        <v>1707</v>
      </c>
      <c r="J61" s="1">
        <v>3.5000000000000001E-3</v>
      </c>
      <c r="K61" s="1" t="s">
        <v>252</v>
      </c>
      <c r="L61" s="1" t="s">
        <v>253</v>
      </c>
      <c r="M61" s="1" t="s">
        <v>94</v>
      </c>
      <c r="N61" s="1" t="s">
        <v>72</v>
      </c>
      <c r="O61" s="1" t="s">
        <v>64</v>
      </c>
      <c r="P61" s="1" t="s">
        <v>95</v>
      </c>
      <c r="R61" s="93">
        <v>43178</v>
      </c>
      <c r="S61" s="93" t="s">
        <v>2664</v>
      </c>
    </row>
    <row r="62" spans="1:19">
      <c r="A62" s="92">
        <v>43185</v>
      </c>
      <c r="C62" s="1" t="s">
        <v>56</v>
      </c>
      <c r="E62" s="98" t="s">
        <v>1731</v>
      </c>
      <c r="F62" s="1" t="s">
        <v>1732</v>
      </c>
      <c r="G62" s="1" t="s">
        <v>1994</v>
      </c>
      <c r="H62" s="1">
        <v>0.1</v>
      </c>
      <c r="I62" s="1" t="s">
        <v>1733</v>
      </c>
      <c r="J62" s="1">
        <v>7.0000000000000001E-3</v>
      </c>
      <c r="K62" s="1" t="s">
        <v>252</v>
      </c>
      <c r="L62" s="1" t="s">
        <v>253</v>
      </c>
      <c r="M62" s="1" t="s">
        <v>94</v>
      </c>
      <c r="N62" s="1" t="s">
        <v>72</v>
      </c>
      <c r="O62" s="1" t="s">
        <v>64</v>
      </c>
      <c r="P62" s="1" t="s">
        <v>95</v>
      </c>
      <c r="R62" s="93">
        <v>43185</v>
      </c>
      <c r="S62" s="93" t="s">
        <v>2681</v>
      </c>
    </row>
    <row r="63" spans="1:19">
      <c r="A63" s="92">
        <v>43175</v>
      </c>
      <c r="C63" s="1" t="s">
        <v>56</v>
      </c>
      <c r="E63" s="98" t="s">
        <v>1734</v>
      </c>
      <c r="F63" s="1" t="s">
        <v>1735</v>
      </c>
      <c r="G63" s="1" t="s">
        <v>1995</v>
      </c>
      <c r="H63" s="1">
        <v>0.03</v>
      </c>
      <c r="I63" s="1" t="s">
        <v>1676</v>
      </c>
      <c r="J63" s="1">
        <v>2.0999999999999999E-3</v>
      </c>
      <c r="K63" s="1" t="s">
        <v>114</v>
      </c>
      <c r="L63" s="1" t="s">
        <v>85</v>
      </c>
      <c r="M63" s="1" t="s">
        <v>71</v>
      </c>
      <c r="N63" s="1" t="s">
        <v>72</v>
      </c>
      <c r="O63" s="1" t="s">
        <v>64</v>
      </c>
      <c r="P63" s="1" t="s">
        <v>73</v>
      </c>
      <c r="R63" s="93">
        <v>43175</v>
      </c>
      <c r="S63" s="93" t="s">
        <v>2667</v>
      </c>
    </row>
    <row r="64" spans="1:19">
      <c r="A64" s="92">
        <v>43175</v>
      </c>
      <c r="C64" s="1" t="s">
        <v>56</v>
      </c>
      <c r="E64" s="98" t="s">
        <v>1734</v>
      </c>
      <c r="F64" s="1" t="s">
        <v>1735</v>
      </c>
      <c r="G64" s="1" t="s">
        <v>1995</v>
      </c>
      <c r="H64" s="1">
        <v>0.03</v>
      </c>
      <c r="I64" s="1" t="s">
        <v>1676</v>
      </c>
      <c r="J64" s="1">
        <v>2.0999999999999999E-3</v>
      </c>
      <c r="K64" s="1" t="s">
        <v>114</v>
      </c>
      <c r="L64" s="1" t="s">
        <v>85</v>
      </c>
      <c r="M64" s="1" t="s">
        <v>71</v>
      </c>
      <c r="N64" s="1" t="s">
        <v>72</v>
      </c>
      <c r="O64" s="1" t="s">
        <v>64</v>
      </c>
      <c r="P64" s="1" t="s">
        <v>73</v>
      </c>
      <c r="R64" s="93">
        <v>43175</v>
      </c>
      <c r="S64" s="93" t="s">
        <v>2667</v>
      </c>
    </row>
    <row r="65" spans="1:19">
      <c r="A65" s="92">
        <v>43175</v>
      </c>
      <c r="C65" s="1" t="s">
        <v>56</v>
      </c>
      <c r="E65" s="98" t="s">
        <v>1734</v>
      </c>
      <c r="F65" s="1" t="s">
        <v>1735</v>
      </c>
      <c r="G65" s="1" t="s">
        <v>1995</v>
      </c>
      <c r="H65" s="1">
        <v>0.04</v>
      </c>
      <c r="I65" s="1" t="s">
        <v>1676</v>
      </c>
      <c r="J65" s="1">
        <v>2.8E-3</v>
      </c>
      <c r="K65" s="1" t="s">
        <v>114</v>
      </c>
      <c r="L65" s="1" t="s">
        <v>85</v>
      </c>
      <c r="M65" s="1" t="s">
        <v>71</v>
      </c>
      <c r="N65" s="1" t="s">
        <v>72</v>
      </c>
      <c r="O65" s="1" t="s">
        <v>64</v>
      </c>
      <c r="P65" s="1" t="s">
        <v>73</v>
      </c>
      <c r="R65" s="93">
        <v>43175</v>
      </c>
      <c r="S65" s="93" t="s">
        <v>2667</v>
      </c>
    </row>
    <row r="66" spans="1:19">
      <c r="A66" s="92">
        <v>43175</v>
      </c>
      <c r="C66" s="1" t="s">
        <v>56</v>
      </c>
      <c r="E66" s="98" t="s">
        <v>1734</v>
      </c>
      <c r="F66" s="1" t="s">
        <v>1735</v>
      </c>
      <c r="G66" s="1" t="s">
        <v>1995</v>
      </c>
      <c r="H66" s="1">
        <v>0.02</v>
      </c>
      <c r="I66" s="1" t="s">
        <v>1676</v>
      </c>
      <c r="J66" s="1">
        <v>1.4E-3</v>
      </c>
      <c r="K66" s="1" t="s">
        <v>114</v>
      </c>
      <c r="L66" s="1" t="s">
        <v>85</v>
      </c>
      <c r="M66" s="1" t="s">
        <v>71</v>
      </c>
      <c r="N66" s="1" t="s">
        <v>72</v>
      </c>
      <c r="O66" s="1" t="s">
        <v>64</v>
      </c>
      <c r="P66" s="1" t="s">
        <v>73</v>
      </c>
      <c r="R66" s="93">
        <v>43175</v>
      </c>
      <c r="S66" s="93" t="s">
        <v>2667</v>
      </c>
    </row>
    <row r="67" spans="1:19">
      <c r="A67" s="92">
        <v>43177</v>
      </c>
      <c r="C67" s="1" t="s">
        <v>56</v>
      </c>
      <c r="E67" s="98" t="s">
        <v>1734</v>
      </c>
      <c r="F67" s="1" t="s">
        <v>1735</v>
      </c>
      <c r="G67" s="1" t="s">
        <v>1995</v>
      </c>
      <c r="H67" s="1">
        <v>0.02</v>
      </c>
      <c r="I67" s="1" t="s">
        <v>1736</v>
      </c>
      <c r="J67" s="1">
        <v>1.4E-3</v>
      </c>
      <c r="K67" s="1" t="s">
        <v>114</v>
      </c>
      <c r="L67" s="1" t="s">
        <v>85</v>
      </c>
      <c r="M67" s="1" t="s">
        <v>71</v>
      </c>
      <c r="N67" s="1" t="s">
        <v>72</v>
      </c>
      <c r="O67" s="1" t="s">
        <v>64</v>
      </c>
      <c r="P67" s="1" t="s">
        <v>73</v>
      </c>
      <c r="R67" s="93">
        <v>43177</v>
      </c>
      <c r="S67" s="93" t="s">
        <v>2682</v>
      </c>
    </row>
    <row r="68" spans="1:19">
      <c r="A68" s="92">
        <v>43177</v>
      </c>
      <c r="C68" s="1" t="s">
        <v>56</v>
      </c>
      <c r="E68" s="98" t="s">
        <v>1734</v>
      </c>
      <c r="F68" s="1" t="s">
        <v>1735</v>
      </c>
      <c r="G68" s="1" t="s">
        <v>1995</v>
      </c>
      <c r="H68" s="1">
        <v>0.02</v>
      </c>
      <c r="I68" s="1" t="s">
        <v>1736</v>
      </c>
      <c r="J68" s="1">
        <v>1.4E-3</v>
      </c>
      <c r="K68" s="1" t="s">
        <v>114</v>
      </c>
      <c r="L68" s="1" t="s">
        <v>85</v>
      </c>
      <c r="M68" s="1" t="s">
        <v>71</v>
      </c>
      <c r="N68" s="1" t="s">
        <v>72</v>
      </c>
      <c r="O68" s="1" t="s">
        <v>64</v>
      </c>
      <c r="P68" s="1" t="s">
        <v>73</v>
      </c>
      <c r="R68" s="93">
        <v>43177</v>
      </c>
      <c r="S68" s="93" t="s">
        <v>2682</v>
      </c>
    </row>
    <row r="69" spans="1:19">
      <c r="A69" s="92">
        <v>43181</v>
      </c>
      <c r="C69" s="1" t="s">
        <v>56</v>
      </c>
      <c r="E69" s="98" t="s">
        <v>1737</v>
      </c>
      <c r="F69" s="1" t="s">
        <v>1738</v>
      </c>
      <c r="G69" s="1" t="s">
        <v>1996</v>
      </c>
      <c r="H69" s="1">
        <v>0.2</v>
      </c>
      <c r="I69" s="1" t="s">
        <v>1717</v>
      </c>
      <c r="J69" s="1">
        <v>1.4E-2</v>
      </c>
      <c r="K69" s="1" t="s">
        <v>281</v>
      </c>
      <c r="L69" s="1" t="s">
        <v>281</v>
      </c>
      <c r="M69" s="1" t="s">
        <v>71</v>
      </c>
      <c r="N69" s="1" t="s">
        <v>72</v>
      </c>
      <c r="O69" s="1" t="s">
        <v>64</v>
      </c>
      <c r="P69" s="1" t="s">
        <v>73</v>
      </c>
      <c r="R69" s="93">
        <v>43181</v>
      </c>
      <c r="S69" s="93" t="s">
        <v>2678</v>
      </c>
    </row>
    <row r="70" spans="1:19">
      <c r="A70" s="92">
        <v>43171</v>
      </c>
      <c r="C70" s="1" t="s">
        <v>56</v>
      </c>
      <c r="E70" s="98" t="s">
        <v>1739</v>
      </c>
      <c r="F70" s="1" t="s">
        <v>1740</v>
      </c>
      <c r="G70" s="1" t="s">
        <v>1997</v>
      </c>
      <c r="H70" s="1">
        <v>0.03</v>
      </c>
      <c r="I70" s="1" t="s">
        <v>1685</v>
      </c>
      <c r="J70" s="1">
        <v>2.0999999999999999E-3</v>
      </c>
      <c r="K70" s="1" t="s">
        <v>281</v>
      </c>
      <c r="L70" s="1" t="s">
        <v>281</v>
      </c>
      <c r="M70" s="1" t="s">
        <v>71</v>
      </c>
      <c r="N70" s="1" t="s">
        <v>72</v>
      </c>
      <c r="O70" s="1" t="s">
        <v>64</v>
      </c>
      <c r="P70" s="1" t="s">
        <v>73</v>
      </c>
      <c r="R70" s="93">
        <v>43171</v>
      </c>
      <c r="S70" s="93" t="s">
        <v>2683</v>
      </c>
    </row>
    <row r="71" spans="1:19">
      <c r="A71" s="92">
        <v>43183</v>
      </c>
      <c r="C71" s="1" t="s">
        <v>56</v>
      </c>
      <c r="E71" s="98" t="s">
        <v>1741</v>
      </c>
      <c r="F71" s="1" t="s">
        <v>1742</v>
      </c>
      <c r="G71" s="1" t="s">
        <v>1998</v>
      </c>
      <c r="H71" s="1">
        <v>2</v>
      </c>
      <c r="I71" s="1" t="s">
        <v>1666</v>
      </c>
      <c r="J71" s="1">
        <v>0.14000000000000001</v>
      </c>
      <c r="K71" s="1" t="s">
        <v>353</v>
      </c>
      <c r="L71" s="1" t="s">
        <v>281</v>
      </c>
      <c r="M71" s="1" t="s">
        <v>71</v>
      </c>
      <c r="N71" s="1" t="s">
        <v>72</v>
      </c>
      <c r="O71" s="1" t="s">
        <v>64</v>
      </c>
      <c r="P71" s="1" t="s">
        <v>73</v>
      </c>
      <c r="R71" s="93">
        <v>43183</v>
      </c>
      <c r="S71" s="93" t="s">
        <v>2668</v>
      </c>
    </row>
    <row r="72" spans="1:19">
      <c r="A72" s="92">
        <v>43185</v>
      </c>
      <c r="C72" s="1" t="s">
        <v>56</v>
      </c>
      <c r="E72" s="98" t="s">
        <v>1743</v>
      </c>
      <c r="F72" s="1" t="s">
        <v>1744</v>
      </c>
      <c r="G72" s="1" t="s">
        <v>1999</v>
      </c>
      <c r="H72" s="1">
        <v>0.5</v>
      </c>
      <c r="I72" s="1" t="s">
        <v>1733</v>
      </c>
      <c r="J72" s="1">
        <v>3.5000000000000003E-2</v>
      </c>
      <c r="K72" s="1" t="s">
        <v>136</v>
      </c>
      <c r="L72" s="1" t="s">
        <v>85</v>
      </c>
      <c r="M72" s="1" t="s">
        <v>71</v>
      </c>
      <c r="N72" s="1" t="s">
        <v>72</v>
      </c>
      <c r="O72" s="1" t="s">
        <v>64</v>
      </c>
      <c r="P72" s="1" t="s">
        <v>73</v>
      </c>
      <c r="R72" s="93">
        <v>43185</v>
      </c>
      <c r="S72" s="93" t="s">
        <v>2681</v>
      </c>
    </row>
    <row r="73" spans="1:19">
      <c r="A73" s="92">
        <v>43180</v>
      </c>
      <c r="C73" s="1" t="s">
        <v>56</v>
      </c>
      <c r="E73" s="98" t="s">
        <v>243</v>
      </c>
      <c r="F73" s="1" t="s">
        <v>244</v>
      </c>
      <c r="G73" s="1" t="s">
        <v>2000</v>
      </c>
      <c r="H73" s="1">
        <v>1</v>
      </c>
      <c r="I73" s="1" t="s">
        <v>1745</v>
      </c>
      <c r="J73" s="1">
        <v>7.0000000000000007E-2</v>
      </c>
      <c r="K73" s="1" t="s">
        <v>136</v>
      </c>
      <c r="L73" s="1" t="s">
        <v>85</v>
      </c>
      <c r="M73" s="1" t="s">
        <v>71</v>
      </c>
      <c r="N73" s="1" t="s">
        <v>72</v>
      </c>
      <c r="O73" s="1" t="s">
        <v>64</v>
      </c>
      <c r="P73" s="1" t="s">
        <v>73</v>
      </c>
      <c r="R73" s="93">
        <v>43180</v>
      </c>
      <c r="S73" s="93" t="s">
        <v>2663</v>
      </c>
    </row>
    <row r="74" spans="1:19">
      <c r="A74" s="92">
        <v>43173</v>
      </c>
      <c r="C74" s="1" t="s">
        <v>56</v>
      </c>
      <c r="E74" s="98" t="s">
        <v>1192</v>
      </c>
      <c r="F74" s="1" t="s">
        <v>1193</v>
      </c>
      <c r="G74" s="1" t="s">
        <v>2001</v>
      </c>
      <c r="H74" s="1">
        <v>1</v>
      </c>
      <c r="I74" s="1" t="s">
        <v>1669</v>
      </c>
      <c r="J74" s="1">
        <v>7.0000000000000007E-2</v>
      </c>
      <c r="K74" s="1" t="s">
        <v>461</v>
      </c>
      <c r="L74" s="1" t="s">
        <v>85</v>
      </c>
      <c r="M74" s="1" t="s">
        <v>71</v>
      </c>
      <c r="N74" s="1" t="s">
        <v>72</v>
      </c>
      <c r="O74" s="1" t="s">
        <v>64</v>
      </c>
      <c r="P74" s="1" t="s">
        <v>73</v>
      </c>
      <c r="R74" s="93">
        <v>43173</v>
      </c>
      <c r="S74" s="93" t="s">
        <v>2665</v>
      </c>
    </row>
    <row r="75" spans="1:19">
      <c r="A75" s="92">
        <v>43181</v>
      </c>
      <c r="C75" s="1" t="s">
        <v>56</v>
      </c>
      <c r="E75" s="98" t="s">
        <v>1192</v>
      </c>
      <c r="F75" s="1" t="s">
        <v>1193</v>
      </c>
      <c r="G75" s="1" t="s">
        <v>2001</v>
      </c>
      <c r="H75" s="1">
        <v>0.7</v>
      </c>
      <c r="I75" s="1" t="s">
        <v>1717</v>
      </c>
      <c r="J75" s="1">
        <v>4.8999999999999995E-2</v>
      </c>
      <c r="K75" s="1" t="s">
        <v>461</v>
      </c>
      <c r="L75" s="1" t="s">
        <v>85</v>
      </c>
      <c r="M75" s="1" t="s">
        <v>71</v>
      </c>
      <c r="N75" s="1" t="s">
        <v>72</v>
      </c>
      <c r="O75" s="1" t="s">
        <v>64</v>
      </c>
      <c r="P75" s="1" t="s">
        <v>73</v>
      </c>
      <c r="R75" s="93">
        <v>43181</v>
      </c>
      <c r="S75" s="93" t="s">
        <v>2678</v>
      </c>
    </row>
    <row r="76" spans="1:19">
      <c r="A76" s="92">
        <v>43164</v>
      </c>
      <c r="C76" s="1" t="s">
        <v>56</v>
      </c>
      <c r="E76" s="98" t="s">
        <v>1746</v>
      </c>
      <c r="F76" s="1" t="s">
        <v>1747</v>
      </c>
      <c r="G76" s="1" t="s">
        <v>2002</v>
      </c>
      <c r="H76" s="1">
        <v>1</v>
      </c>
      <c r="I76" s="1" t="s">
        <v>1748</v>
      </c>
      <c r="J76" s="1">
        <v>7.0000000000000007E-2</v>
      </c>
      <c r="K76" s="1" t="s">
        <v>590</v>
      </c>
      <c r="L76" s="1" t="s">
        <v>85</v>
      </c>
      <c r="M76" s="1" t="s">
        <v>71</v>
      </c>
      <c r="N76" s="1" t="s">
        <v>72</v>
      </c>
      <c r="O76" s="1" t="s">
        <v>64</v>
      </c>
      <c r="P76" s="1" t="s">
        <v>73</v>
      </c>
      <c r="R76" s="93">
        <v>43164</v>
      </c>
      <c r="S76" s="93" t="s">
        <v>2684</v>
      </c>
    </row>
    <row r="77" spans="1:19">
      <c r="A77" s="92">
        <v>43167</v>
      </c>
      <c r="C77" s="1" t="s">
        <v>56</v>
      </c>
      <c r="E77" s="98" t="s">
        <v>1749</v>
      </c>
      <c r="F77" s="1" t="s">
        <v>1750</v>
      </c>
      <c r="G77" s="1" t="s">
        <v>2003</v>
      </c>
      <c r="H77" s="1">
        <v>0.5</v>
      </c>
      <c r="I77" s="1" t="s">
        <v>1751</v>
      </c>
      <c r="J77" s="1">
        <v>0.21</v>
      </c>
      <c r="K77" s="1" t="s">
        <v>1752</v>
      </c>
      <c r="L77" s="1" t="s">
        <v>102</v>
      </c>
      <c r="M77" s="1" t="s">
        <v>94</v>
      </c>
      <c r="N77" s="1" t="s">
        <v>72</v>
      </c>
      <c r="O77" s="1" t="s">
        <v>64</v>
      </c>
      <c r="P77" s="1" t="s">
        <v>95</v>
      </c>
      <c r="R77" s="93">
        <v>43167</v>
      </c>
      <c r="S77" s="93" t="s">
        <v>2685</v>
      </c>
    </row>
    <row r="78" spans="1:19">
      <c r="A78" s="92">
        <v>43179</v>
      </c>
      <c r="C78" s="1" t="s">
        <v>56</v>
      </c>
      <c r="E78" s="98" t="s">
        <v>1753</v>
      </c>
      <c r="F78" s="1" t="s">
        <v>1754</v>
      </c>
      <c r="G78" s="1" t="s">
        <v>2004</v>
      </c>
      <c r="H78" s="1">
        <v>6</v>
      </c>
      <c r="I78" s="1" t="s">
        <v>1710</v>
      </c>
      <c r="J78" s="1">
        <v>0.42</v>
      </c>
      <c r="K78" s="1" t="s">
        <v>101</v>
      </c>
      <c r="L78" s="1" t="s">
        <v>102</v>
      </c>
      <c r="M78" s="1" t="s">
        <v>94</v>
      </c>
      <c r="N78" s="1" t="s">
        <v>72</v>
      </c>
      <c r="O78" s="1" t="s">
        <v>64</v>
      </c>
      <c r="P78" s="1" t="s">
        <v>95</v>
      </c>
      <c r="R78" s="93">
        <v>43179</v>
      </c>
      <c r="S78" s="93" t="s">
        <v>2664</v>
      </c>
    </row>
    <row r="79" spans="1:19">
      <c r="A79" s="92">
        <v>43172</v>
      </c>
      <c r="C79" s="1" t="s">
        <v>56</v>
      </c>
      <c r="E79" s="98" t="s">
        <v>1755</v>
      </c>
      <c r="F79" s="1" t="s">
        <v>1756</v>
      </c>
      <c r="G79" s="1" t="s">
        <v>2005</v>
      </c>
      <c r="H79" s="1">
        <v>0.4</v>
      </c>
      <c r="I79" s="1" t="s">
        <v>1663</v>
      </c>
      <c r="J79" s="1">
        <v>2.8000000000000001E-2</v>
      </c>
      <c r="K79" s="1" t="s">
        <v>144</v>
      </c>
      <c r="L79" s="1" t="s">
        <v>93</v>
      </c>
      <c r="M79" s="1" t="s">
        <v>94</v>
      </c>
      <c r="N79" s="1" t="s">
        <v>72</v>
      </c>
      <c r="O79" s="1" t="s">
        <v>64</v>
      </c>
      <c r="P79" s="1" t="s">
        <v>95</v>
      </c>
      <c r="R79" s="93">
        <v>43172</v>
      </c>
      <c r="S79" s="93" t="s">
        <v>2683</v>
      </c>
    </row>
    <row r="80" spans="1:19">
      <c r="A80" s="92">
        <v>43190</v>
      </c>
      <c r="C80" s="1" t="s">
        <v>56</v>
      </c>
      <c r="E80" s="98" t="s">
        <v>1755</v>
      </c>
      <c r="F80" s="1" t="s">
        <v>1756</v>
      </c>
      <c r="G80" s="1" t="s">
        <v>2005</v>
      </c>
      <c r="H80" s="1">
        <v>0.2</v>
      </c>
      <c r="I80" s="1" t="s">
        <v>1757</v>
      </c>
      <c r="J80" s="1">
        <v>1.4E-2</v>
      </c>
      <c r="K80" s="1" t="s">
        <v>144</v>
      </c>
      <c r="L80" s="1" t="s">
        <v>93</v>
      </c>
      <c r="M80" s="1" t="s">
        <v>94</v>
      </c>
      <c r="N80" s="1" t="s">
        <v>72</v>
      </c>
      <c r="O80" s="1" t="s">
        <v>64</v>
      </c>
      <c r="P80" s="1" t="s">
        <v>95</v>
      </c>
      <c r="R80" s="93">
        <v>43190</v>
      </c>
      <c r="S80" s="93" t="s">
        <v>2686</v>
      </c>
    </row>
    <row r="81" spans="1:19">
      <c r="A81" s="92">
        <v>43182</v>
      </c>
      <c r="C81" s="1" t="s">
        <v>56</v>
      </c>
      <c r="E81" s="98" t="s">
        <v>1758</v>
      </c>
      <c r="F81" s="1" t="s">
        <v>1759</v>
      </c>
      <c r="G81" s="1" t="s">
        <v>2006</v>
      </c>
      <c r="H81" s="1">
        <v>0.2</v>
      </c>
      <c r="I81" s="1" t="s">
        <v>1760</v>
      </c>
      <c r="J81" s="1">
        <v>1.4E-2</v>
      </c>
      <c r="K81" s="1" t="s">
        <v>659</v>
      </c>
      <c r="L81" s="1" t="s">
        <v>193</v>
      </c>
      <c r="M81" s="1" t="s">
        <v>62</v>
      </c>
      <c r="N81" s="1" t="s">
        <v>63</v>
      </c>
      <c r="O81" s="1" t="s">
        <v>64</v>
      </c>
      <c r="P81" s="1" t="s">
        <v>65</v>
      </c>
      <c r="R81" s="93">
        <v>43182</v>
      </c>
      <c r="S81" s="93" t="s">
        <v>2668</v>
      </c>
    </row>
    <row r="82" spans="1:19">
      <c r="A82" s="92">
        <v>43180</v>
      </c>
      <c r="C82" s="1" t="s">
        <v>56</v>
      </c>
      <c r="E82" s="98" t="s">
        <v>1758</v>
      </c>
      <c r="F82" s="1" t="s">
        <v>1759</v>
      </c>
      <c r="G82" s="1" t="s">
        <v>2006</v>
      </c>
      <c r="H82" s="1">
        <v>0.1</v>
      </c>
      <c r="I82" s="1" t="s">
        <v>1761</v>
      </c>
      <c r="J82" s="1">
        <v>7.0000000000000001E-3</v>
      </c>
      <c r="K82" s="1" t="s">
        <v>659</v>
      </c>
      <c r="L82" s="1" t="s">
        <v>193</v>
      </c>
      <c r="M82" s="1" t="s">
        <v>62</v>
      </c>
      <c r="N82" s="1" t="s">
        <v>63</v>
      </c>
      <c r="O82" s="1" t="s">
        <v>64</v>
      </c>
      <c r="P82" s="1" t="s">
        <v>65</v>
      </c>
      <c r="R82" s="93">
        <v>43180</v>
      </c>
      <c r="S82" s="93" t="s">
        <v>2687</v>
      </c>
    </row>
    <row r="83" spans="1:19">
      <c r="A83" s="92">
        <v>43169</v>
      </c>
      <c r="C83" s="1" t="s">
        <v>56</v>
      </c>
      <c r="E83" s="98" t="s">
        <v>813</v>
      </c>
      <c r="F83" s="1" t="s">
        <v>814</v>
      </c>
      <c r="G83" s="1" t="s">
        <v>2007</v>
      </c>
      <c r="H83" s="1">
        <v>20</v>
      </c>
      <c r="I83" s="1" t="s">
        <v>1762</v>
      </c>
      <c r="J83" s="1">
        <v>1.4</v>
      </c>
      <c r="K83" s="1" t="s">
        <v>121</v>
      </c>
      <c r="L83" s="1" t="s">
        <v>93</v>
      </c>
      <c r="M83" s="1" t="s">
        <v>94</v>
      </c>
      <c r="N83" s="1" t="s">
        <v>72</v>
      </c>
      <c r="O83" s="1" t="s">
        <v>64</v>
      </c>
      <c r="P83" s="1" t="s">
        <v>95</v>
      </c>
      <c r="R83" s="93">
        <v>43169</v>
      </c>
      <c r="S83" s="93" t="s">
        <v>2669</v>
      </c>
    </row>
    <row r="84" spans="1:19">
      <c r="A84" s="92">
        <v>43174</v>
      </c>
      <c r="C84" s="1" t="s">
        <v>56</v>
      </c>
      <c r="E84" s="98" t="s">
        <v>1763</v>
      </c>
      <c r="F84" s="1" t="s">
        <v>1764</v>
      </c>
      <c r="G84" s="1" t="s">
        <v>2008</v>
      </c>
      <c r="H84" s="1">
        <v>0.6</v>
      </c>
      <c r="I84" s="1" t="s">
        <v>1765</v>
      </c>
      <c r="J84" s="1">
        <v>4.2000000000000003E-2</v>
      </c>
      <c r="K84" s="1" t="s">
        <v>358</v>
      </c>
      <c r="L84" s="1" t="s">
        <v>117</v>
      </c>
      <c r="M84" s="1" t="s">
        <v>2661</v>
      </c>
      <c r="N84" s="1" t="s">
        <v>72</v>
      </c>
      <c r="O84" s="1" t="s">
        <v>64</v>
      </c>
      <c r="P84" s="1" t="s">
        <v>53</v>
      </c>
      <c r="R84" s="93">
        <v>43174</v>
      </c>
      <c r="S84" s="93" t="s">
        <v>2688</v>
      </c>
    </row>
    <row r="85" spans="1:19">
      <c r="A85" s="92">
        <v>43164</v>
      </c>
      <c r="C85" s="1" t="s">
        <v>56</v>
      </c>
      <c r="E85" s="98" t="s">
        <v>1763</v>
      </c>
      <c r="F85" s="1" t="s">
        <v>1764</v>
      </c>
      <c r="G85" s="1" t="s">
        <v>2008</v>
      </c>
      <c r="H85" s="1">
        <v>0.1</v>
      </c>
      <c r="I85" s="1" t="s">
        <v>1766</v>
      </c>
      <c r="J85" s="1">
        <v>7.0000000000000001E-3</v>
      </c>
      <c r="K85" s="1" t="s">
        <v>358</v>
      </c>
      <c r="L85" s="1" t="s">
        <v>117</v>
      </c>
      <c r="M85" s="1" t="s">
        <v>2661</v>
      </c>
      <c r="N85" s="1" t="s">
        <v>72</v>
      </c>
      <c r="O85" s="1" t="s">
        <v>64</v>
      </c>
      <c r="P85" s="1" t="s">
        <v>53</v>
      </c>
      <c r="R85" s="93">
        <v>43164</v>
      </c>
      <c r="S85" s="93" t="s">
        <v>2684</v>
      </c>
    </row>
    <row r="86" spans="1:19">
      <c r="A86" s="92">
        <v>43185</v>
      </c>
      <c r="C86" s="1" t="s">
        <v>56</v>
      </c>
      <c r="E86" s="98" t="s">
        <v>1767</v>
      </c>
      <c r="F86" s="1" t="s">
        <v>1768</v>
      </c>
      <c r="G86" s="1" t="s">
        <v>2009</v>
      </c>
      <c r="H86" s="1">
        <v>1</v>
      </c>
      <c r="I86" s="1" t="s">
        <v>1769</v>
      </c>
      <c r="J86" s="1">
        <v>7.0000000000000007E-2</v>
      </c>
      <c r="K86" s="1" t="s">
        <v>309</v>
      </c>
      <c r="L86" s="1" t="s">
        <v>150</v>
      </c>
      <c r="M86" s="1" t="s">
        <v>132</v>
      </c>
      <c r="N86" s="1" t="s">
        <v>72</v>
      </c>
      <c r="O86" s="1" t="s">
        <v>64</v>
      </c>
      <c r="P86" s="1" t="s">
        <v>133</v>
      </c>
      <c r="R86" s="93">
        <v>43185</v>
      </c>
      <c r="S86" s="93" t="s">
        <v>2673</v>
      </c>
    </row>
    <row r="87" spans="1:19">
      <c r="A87" s="92">
        <v>43164</v>
      </c>
      <c r="C87" s="1" t="s">
        <v>56</v>
      </c>
      <c r="E87" s="98" t="s">
        <v>1770</v>
      </c>
      <c r="F87" s="1" t="s">
        <v>219</v>
      </c>
      <c r="G87" s="1" t="s">
        <v>2010</v>
      </c>
      <c r="H87" s="1">
        <v>1</v>
      </c>
      <c r="I87" s="1" t="s">
        <v>1748</v>
      </c>
      <c r="J87" s="1">
        <v>7.0000000000000007E-2</v>
      </c>
      <c r="K87" s="1" t="s">
        <v>219</v>
      </c>
      <c r="L87" s="1" t="s">
        <v>70</v>
      </c>
      <c r="M87" s="1" t="s">
        <v>71</v>
      </c>
      <c r="N87" s="1" t="s">
        <v>72</v>
      </c>
      <c r="O87" s="1" t="s">
        <v>64</v>
      </c>
      <c r="P87" s="1" t="s">
        <v>73</v>
      </c>
      <c r="R87" s="93">
        <v>43164</v>
      </c>
      <c r="S87" s="93" t="s">
        <v>2684</v>
      </c>
    </row>
    <row r="88" spans="1:19">
      <c r="A88" s="92">
        <v>43187</v>
      </c>
      <c r="C88" s="1" t="s">
        <v>56</v>
      </c>
      <c r="E88" s="98" t="s">
        <v>199</v>
      </c>
      <c r="F88" s="1" t="s">
        <v>200</v>
      </c>
      <c r="G88" s="1" t="s">
        <v>2011</v>
      </c>
      <c r="H88" s="1">
        <v>3</v>
      </c>
      <c r="I88" s="1" t="s">
        <v>1771</v>
      </c>
      <c r="J88" s="1">
        <v>0.21</v>
      </c>
      <c r="K88" s="1" t="s">
        <v>201</v>
      </c>
      <c r="L88" s="1" t="s">
        <v>61</v>
      </c>
      <c r="M88" s="1" t="s">
        <v>62</v>
      </c>
      <c r="N88" s="1" t="s">
        <v>63</v>
      </c>
      <c r="O88" s="1" t="s">
        <v>64</v>
      </c>
      <c r="P88" s="1" t="s">
        <v>65</v>
      </c>
      <c r="R88" s="93">
        <v>43187</v>
      </c>
      <c r="S88" s="93" t="s">
        <v>2677</v>
      </c>
    </row>
    <row r="89" spans="1:19">
      <c r="A89" s="92">
        <v>43183</v>
      </c>
      <c r="C89" s="1" t="s">
        <v>56</v>
      </c>
      <c r="E89" s="98" t="s">
        <v>1002</v>
      </c>
      <c r="F89" s="1" t="s">
        <v>1003</v>
      </c>
      <c r="G89" s="1" t="s">
        <v>2012</v>
      </c>
      <c r="H89" s="1">
        <v>1.54</v>
      </c>
      <c r="I89" s="1" t="s">
        <v>1666</v>
      </c>
      <c r="J89" s="1">
        <v>0.10780000000000001</v>
      </c>
      <c r="K89" s="1" t="s">
        <v>584</v>
      </c>
      <c r="L89" s="1" t="s">
        <v>216</v>
      </c>
      <c r="M89" s="1" t="s">
        <v>52</v>
      </c>
      <c r="N89" s="1" t="s">
        <v>63</v>
      </c>
      <c r="O89" s="1" t="s">
        <v>64</v>
      </c>
      <c r="P89" s="1" t="s">
        <v>111</v>
      </c>
      <c r="R89" s="93">
        <v>43183</v>
      </c>
      <c r="S89" s="93" t="s">
        <v>2668</v>
      </c>
    </row>
    <row r="90" spans="1:19">
      <c r="A90" s="92">
        <v>43167</v>
      </c>
      <c r="C90" s="1" t="s">
        <v>56</v>
      </c>
      <c r="E90" s="98" t="s">
        <v>1002</v>
      </c>
      <c r="F90" s="1" t="s">
        <v>1003</v>
      </c>
      <c r="G90" s="1" t="s">
        <v>2012</v>
      </c>
      <c r="H90" s="1">
        <v>0.5</v>
      </c>
      <c r="I90" s="1" t="s">
        <v>1694</v>
      </c>
      <c r="J90" s="1">
        <v>3.5000000000000003E-2</v>
      </c>
      <c r="K90" s="1" t="s">
        <v>584</v>
      </c>
      <c r="L90" s="1" t="s">
        <v>216</v>
      </c>
      <c r="M90" s="1" t="s">
        <v>52</v>
      </c>
      <c r="N90" s="1" t="s">
        <v>63</v>
      </c>
      <c r="O90" s="1" t="s">
        <v>64</v>
      </c>
      <c r="P90" s="1" t="s">
        <v>111</v>
      </c>
      <c r="R90" s="93">
        <v>43167</v>
      </c>
      <c r="S90" s="93" t="s">
        <v>2672</v>
      </c>
    </row>
    <row r="91" spans="1:19">
      <c r="A91" s="92">
        <v>43186</v>
      </c>
      <c r="C91" s="1" t="s">
        <v>56</v>
      </c>
      <c r="E91" s="98" t="s">
        <v>1002</v>
      </c>
      <c r="F91" s="1" t="s">
        <v>1003</v>
      </c>
      <c r="G91" s="1" t="s">
        <v>2012</v>
      </c>
      <c r="H91" s="1">
        <v>0.5</v>
      </c>
      <c r="I91" s="1" t="s">
        <v>1772</v>
      </c>
      <c r="J91" s="1">
        <v>3.5000000000000003E-2</v>
      </c>
      <c r="K91" s="1" t="s">
        <v>584</v>
      </c>
      <c r="L91" s="1" t="s">
        <v>216</v>
      </c>
      <c r="M91" s="1" t="s">
        <v>52</v>
      </c>
      <c r="N91" s="1" t="s">
        <v>63</v>
      </c>
      <c r="O91" s="1" t="s">
        <v>64</v>
      </c>
      <c r="P91" s="1" t="s">
        <v>111</v>
      </c>
      <c r="R91" s="93">
        <v>43186</v>
      </c>
      <c r="S91" s="93" t="s">
        <v>2677</v>
      </c>
    </row>
    <row r="92" spans="1:19">
      <c r="A92" s="92">
        <v>43164</v>
      </c>
      <c r="C92" s="1" t="s">
        <v>56</v>
      </c>
      <c r="E92" s="98" t="s">
        <v>1002</v>
      </c>
      <c r="F92" s="1" t="s">
        <v>1003</v>
      </c>
      <c r="G92" s="1" t="s">
        <v>2012</v>
      </c>
      <c r="H92" s="1">
        <v>0.5</v>
      </c>
      <c r="I92" s="1" t="s">
        <v>1748</v>
      </c>
      <c r="J92" s="1">
        <v>3.5000000000000003E-2</v>
      </c>
      <c r="K92" s="1" t="s">
        <v>584</v>
      </c>
      <c r="L92" s="1" t="s">
        <v>216</v>
      </c>
      <c r="M92" s="1" t="s">
        <v>52</v>
      </c>
      <c r="N92" s="1" t="s">
        <v>63</v>
      </c>
      <c r="O92" s="1" t="s">
        <v>64</v>
      </c>
      <c r="P92" s="1" t="s">
        <v>111</v>
      </c>
      <c r="R92" s="93">
        <v>43164</v>
      </c>
      <c r="S92" s="93" t="s">
        <v>2684</v>
      </c>
    </row>
    <row r="93" spans="1:19">
      <c r="A93" s="92">
        <v>43186</v>
      </c>
      <c r="C93" s="1" t="s">
        <v>56</v>
      </c>
      <c r="E93" s="98" t="s">
        <v>1773</v>
      </c>
      <c r="F93" s="1" t="s">
        <v>1774</v>
      </c>
      <c r="G93" s="1" t="s">
        <v>2013</v>
      </c>
      <c r="H93" s="1">
        <v>1</v>
      </c>
      <c r="I93" s="1" t="s">
        <v>1695</v>
      </c>
      <c r="J93" s="1">
        <v>7.0000000000000007E-2</v>
      </c>
      <c r="K93" s="1" t="s">
        <v>416</v>
      </c>
      <c r="L93" s="1" t="s">
        <v>193</v>
      </c>
      <c r="M93" s="1" t="s">
        <v>62</v>
      </c>
      <c r="N93" s="1" t="s">
        <v>63</v>
      </c>
      <c r="O93" s="1" t="s">
        <v>64</v>
      </c>
      <c r="P93" s="1" t="s">
        <v>65</v>
      </c>
      <c r="R93" s="93">
        <v>43186</v>
      </c>
      <c r="S93" s="93" t="s">
        <v>2673</v>
      </c>
    </row>
    <row r="94" spans="1:19">
      <c r="A94" s="92">
        <v>43179</v>
      </c>
      <c r="C94" s="1" t="s">
        <v>56</v>
      </c>
      <c r="E94" s="98" t="s">
        <v>1775</v>
      </c>
      <c r="F94" s="1" t="s">
        <v>1776</v>
      </c>
      <c r="G94" s="1" t="s">
        <v>2014</v>
      </c>
      <c r="H94" s="1">
        <v>1</v>
      </c>
      <c r="I94" s="1" t="s">
        <v>1777</v>
      </c>
      <c r="J94" s="1">
        <v>0.42</v>
      </c>
      <c r="K94" s="1" t="s">
        <v>242</v>
      </c>
      <c r="L94" s="1" t="s">
        <v>93</v>
      </c>
      <c r="M94" s="1" t="s">
        <v>94</v>
      </c>
      <c r="N94" s="1" t="s">
        <v>72</v>
      </c>
      <c r="O94" s="1" t="s">
        <v>64</v>
      </c>
      <c r="P94" s="1" t="s">
        <v>95</v>
      </c>
      <c r="R94" s="93">
        <v>43179</v>
      </c>
      <c r="S94" s="93" t="s">
        <v>2689</v>
      </c>
    </row>
    <row r="95" spans="1:19">
      <c r="A95" s="92">
        <v>43176</v>
      </c>
      <c r="C95" s="1" t="s">
        <v>56</v>
      </c>
      <c r="E95" s="98" t="s">
        <v>1775</v>
      </c>
      <c r="F95" s="1" t="s">
        <v>1776</v>
      </c>
      <c r="G95" s="1" t="s">
        <v>2014</v>
      </c>
      <c r="H95" s="1">
        <v>1</v>
      </c>
      <c r="I95" s="1" t="s">
        <v>1778</v>
      </c>
      <c r="J95" s="1">
        <v>7.0000000000000007E-2</v>
      </c>
      <c r="K95" s="1" t="s">
        <v>242</v>
      </c>
      <c r="L95" s="1" t="s">
        <v>93</v>
      </c>
      <c r="M95" s="1" t="s">
        <v>94</v>
      </c>
      <c r="N95" s="1" t="s">
        <v>72</v>
      </c>
      <c r="O95" s="1" t="s">
        <v>64</v>
      </c>
      <c r="P95" s="1" t="s">
        <v>95</v>
      </c>
      <c r="R95" s="93">
        <v>43176</v>
      </c>
      <c r="S95" s="93" t="s">
        <v>2671</v>
      </c>
    </row>
    <row r="96" spans="1:19">
      <c r="A96" s="92">
        <v>43180</v>
      </c>
      <c r="C96" s="1" t="s">
        <v>56</v>
      </c>
      <c r="E96" s="98" t="s">
        <v>941</v>
      </c>
      <c r="F96" s="1" t="s">
        <v>942</v>
      </c>
      <c r="G96" s="1" t="s">
        <v>2015</v>
      </c>
      <c r="H96" s="1">
        <v>0.2</v>
      </c>
      <c r="I96" s="1" t="s">
        <v>1779</v>
      </c>
      <c r="J96" s="1">
        <v>1.4E-2</v>
      </c>
      <c r="K96" s="1" t="s">
        <v>144</v>
      </c>
      <c r="L96" s="1" t="s">
        <v>93</v>
      </c>
      <c r="M96" s="1" t="s">
        <v>94</v>
      </c>
      <c r="N96" s="1" t="s">
        <v>72</v>
      </c>
      <c r="O96" s="1" t="s">
        <v>64</v>
      </c>
      <c r="P96" s="1" t="s">
        <v>95</v>
      </c>
      <c r="R96" s="93">
        <v>43180</v>
      </c>
      <c r="S96" s="93" t="s">
        <v>2678</v>
      </c>
    </row>
    <row r="97" spans="1:19">
      <c r="A97" s="92">
        <v>43165</v>
      </c>
      <c r="C97" s="1" t="s">
        <v>56</v>
      </c>
      <c r="E97" s="98" t="s">
        <v>1780</v>
      </c>
      <c r="F97" s="1" t="s">
        <v>1781</v>
      </c>
      <c r="G97" s="1" t="s">
        <v>2016</v>
      </c>
      <c r="H97" s="1">
        <v>0.5</v>
      </c>
      <c r="I97" s="1" t="s">
        <v>1782</v>
      </c>
      <c r="J97" s="1">
        <v>3.5000000000000003E-2</v>
      </c>
      <c r="K97" s="1" t="s">
        <v>274</v>
      </c>
      <c r="L97" s="1" t="s">
        <v>216</v>
      </c>
      <c r="M97" s="1" t="s">
        <v>52</v>
      </c>
      <c r="N97" s="1" t="s">
        <v>63</v>
      </c>
      <c r="O97" s="1" t="s">
        <v>64</v>
      </c>
      <c r="P97" s="1" t="s">
        <v>111</v>
      </c>
      <c r="R97" s="93">
        <v>43165</v>
      </c>
      <c r="S97" s="93" t="s">
        <v>2690</v>
      </c>
    </row>
    <row r="98" spans="1:19">
      <c r="A98" s="92">
        <v>43176</v>
      </c>
      <c r="C98" s="1" t="s">
        <v>56</v>
      </c>
      <c r="E98" s="98" t="s">
        <v>1783</v>
      </c>
      <c r="F98" s="1" t="s">
        <v>1784</v>
      </c>
      <c r="G98" s="1" t="s">
        <v>2017</v>
      </c>
      <c r="H98" s="1">
        <v>0.1</v>
      </c>
      <c r="I98" s="1" t="s">
        <v>1721</v>
      </c>
      <c r="J98" s="1">
        <v>7.0000000000000001E-3</v>
      </c>
      <c r="K98" s="1" t="s">
        <v>659</v>
      </c>
      <c r="L98" s="1" t="s">
        <v>193</v>
      </c>
      <c r="M98" s="1" t="s">
        <v>62</v>
      </c>
      <c r="N98" s="1" t="s">
        <v>63</v>
      </c>
      <c r="O98" s="1" t="s">
        <v>64</v>
      </c>
      <c r="P98" s="1" t="s">
        <v>65</v>
      </c>
      <c r="R98" s="93">
        <v>43176</v>
      </c>
      <c r="S98" s="93" t="s">
        <v>2671</v>
      </c>
    </row>
    <row r="99" spans="1:19">
      <c r="A99" s="92">
        <v>43164</v>
      </c>
      <c r="C99" s="1" t="s">
        <v>56</v>
      </c>
      <c r="E99" s="98" t="s">
        <v>1785</v>
      </c>
      <c r="F99" s="1" t="s">
        <v>1786</v>
      </c>
      <c r="G99" s="1" t="s">
        <v>2018</v>
      </c>
      <c r="H99" s="1">
        <v>1</v>
      </c>
      <c r="I99" s="1" t="s">
        <v>1787</v>
      </c>
      <c r="J99" s="1">
        <v>7.0000000000000007E-2</v>
      </c>
      <c r="K99" s="1" t="s">
        <v>70</v>
      </c>
      <c r="L99" s="1" t="s">
        <v>70</v>
      </c>
      <c r="M99" s="1" t="s">
        <v>71</v>
      </c>
      <c r="N99" s="1" t="s">
        <v>72</v>
      </c>
      <c r="O99" s="1" t="s">
        <v>64</v>
      </c>
      <c r="P99" s="1" t="s">
        <v>73</v>
      </c>
      <c r="R99" s="93">
        <v>43164</v>
      </c>
      <c r="S99" s="93" t="s">
        <v>2675</v>
      </c>
    </row>
    <row r="100" spans="1:19">
      <c r="A100" s="92">
        <v>43179</v>
      </c>
      <c r="C100" s="1" t="s">
        <v>56</v>
      </c>
      <c r="E100" s="98" t="s">
        <v>1798</v>
      </c>
      <c r="F100" s="1" t="s">
        <v>1799</v>
      </c>
      <c r="G100" s="1" t="s">
        <v>2019</v>
      </c>
      <c r="H100" s="1">
        <v>0.9</v>
      </c>
      <c r="I100" s="1" t="s">
        <v>1800</v>
      </c>
      <c r="J100" s="1">
        <v>6.3E-2</v>
      </c>
      <c r="K100" s="1" t="s">
        <v>182</v>
      </c>
      <c r="L100" s="1" t="s">
        <v>93</v>
      </c>
      <c r="M100" s="1" t="s">
        <v>94</v>
      </c>
      <c r="N100" s="1" t="s">
        <v>72</v>
      </c>
      <c r="O100" s="1" t="s">
        <v>64</v>
      </c>
      <c r="P100" s="1" t="s">
        <v>95</v>
      </c>
      <c r="R100" s="93">
        <v>43179</v>
      </c>
      <c r="S100" s="93" t="s">
        <v>2678</v>
      </c>
    </row>
    <row r="101" spans="1:19">
      <c r="A101" s="92">
        <v>43179</v>
      </c>
      <c r="C101" s="1" t="s">
        <v>56</v>
      </c>
      <c r="E101" s="98" t="s">
        <v>778</v>
      </c>
      <c r="F101" s="1" t="s">
        <v>779</v>
      </c>
      <c r="G101" s="1" t="s">
        <v>2020</v>
      </c>
      <c r="H101" s="1">
        <v>3</v>
      </c>
      <c r="I101" s="1" t="s">
        <v>1801</v>
      </c>
      <c r="J101" s="1">
        <v>0.21</v>
      </c>
      <c r="K101" s="1" t="s">
        <v>167</v>
      </c>
      <c r="L101" s="1" t="s">
        <v>117</v>
      </c>
      <c r="M101" s="1" t="s">
        <v>2661</v>
      </c>
      <c r="N101" s="1" t="s">
        <v>72</v>
      </c>
      <c r="O101" s="1" t="s">
        <v>64</v>
      </c>
      <c r="P101" s="1" t="s">
        <v>53</v>
      </c>
      <c r="R101" s="93">
        <v>43179</v>
      </c>
      <c r="S101" s="93" t="s">
        <v>2687</v>
      </c>
    </row>
    <row r="102" spans="1:19">
      <c r="A102" s="92">
        <v>43164</v>
      </c>
      <c r="C102" s="1" t="s">
        <v>56</v>
      </c>
      <c r="E102" s="98" t="s">
        <v>778</v>
      </c>
      <c r="F102" s="1" t="s">
        <v>779</v>
      </c>
      <c r="G102" s="1" t="s">
        <v>2020</v>
      </c>
      <c r="H102" s="1">
        <v>1</v>
      </c>
      <c r="I102" s="1" t="s">
        <v>1802</v>
      </c>
      <c r="J102" s="1">
        <v>7.0000000000000007E-2</v>
      </c>
      <c r="K102" s="1" t="s">
        <v>167</v>
      </c>
      <c r="L102" s="1" t="s">
        <v>117</v>
      </c>
      <c r="M102" s="1" t="s">
        <v>2661</v>
      </c>
      <c r="N102" s="1" t="s">
        <v>72</v>
      </c>
      <c r="O102" s="1" t="s">
        <v>64</v>
      </c>
      <c r="P102" s="1" t="s">
        <v>53</v>
      </c>
      <c r="R102" s="93">
        <v>43164</v>
      </c>
      <c r="S102" s="93" t="s">
        <v>2691</v>
      </c>
    </row>
    <row r="103" spans="1:19">
      <c r="A103" s="92">
        <v>43164</v>
      </c>
      <c r="C103" s="1" t="s">
        <v>56</v>
      </c>
      <c r="E103" s="98" t="s">
        <v>778</v>
      </c>
      <c r="F103" s="1" t="s">
        <v>779</v>
      </c>
      <c r="G103" s="1" t="s">
        <v>2020</v>
      </c>
      <c r="H103" s="1">
        <v>1</v>
      </c>
      <c r="I103" s="1" t="s">
        <v>1802</v>
      </c>
      <c r="J103" s="1">
        <v>7.0000000000000007E-2</v>
      </c>
      <c r="K103" s="1" t="s">
        <v>167</v>
      </c>
      <c r="L103" s="1" t="s">
        <v>117</v>
      </c>
      <c r="M103" s="1" t="s">
        <v>2661</v>
      </c>
      <c r="N103" s="1" t="s">
        <v>72</v>
      </c>
      <c r="O103" s="1" t="s">
        <v>64</v>
      </c>
      <c r="P103" s="1" t="s">
        <v>53</v>
      </c>
      <c r="R103" s="93">
        <v>43164</v>
      </c>
      <c r="S103" s="93" t="s">
        <v>2692</v>
      </c>
    </row>
    <row r="104" spans="1:19">
      <c r="A104" s="92">
        <v>43179</v>
      </c>
      <c r="C104" s="1" t="s">
        <v>56</v>
      </c>
      <c r="E104" s="98" t="s">
        <v>1803</v>
      </c>
      <c r="F104" s="1" t="s">
        <v>1804</v>
      </c>
      <c r="G104" s="1" t="s">
        <v>2021</v>
      </c>
      <c r="H104" s="1">
        <v>0.01</v>
      </c>
      <c r="I104" s="1" t="s">
        <v>1801</v>
      </c>
      <c r="J104" s="1">
        <v>6.9999999999999999E-4</v>
      </c>
      <c r="K104" s="1" t="s">
        <v>209</v>
      </c>
      <c r="L104" s="1" t="s">
        <v>131</v>
      </c>
      <c r="M104" s="1" t="s">
        <v>132</v>
      </c>
      <c r="N104" s="1" t="s">
        <v>72</v>
      </c>
      <c r="O104" s="1" t="s">
        <v>64</v>
      </c>
      <c r="P104" s="1" t="s">
        <v>133</v>
      </c>
      <c r="R104" s="93">
        <v>43179</v>
      </c>
      <c r="S104" s="93" t="s">
        <v>2687</v>
      </c>
    </row>
    <row r="105" spans="1:19">
      <c r="A105" s="92">
        <v>43174</v>
      </c>
      <c r="C105" s="1" t="s">
        <v>56</v>
      </c>
      <c r="E105" s="98" t="s">
        <v>1803</v>
      </c>
      <c r="F105" s="1" t="s">
        <v>1804</v>
      </c>
      <c r="G105" s="1" t="s">
        <v>2021</v>
      </c>
      <c r="H105" s="1">
        <v>1</v>
      </c>
      <c r="I105" s="1" t="s">
        <v>1805</v>
      </c>
      <c r="J105" s="1">
        <v>0.42</v>
      </c>
      <c r="K105" s="1" t="s">
        <v>209</v>
      </c>
      <c r="L105" s="1" t="s">
        <v>131</v>
      </c>
      <c r="M105" s="1" t="s">
        <v>132</v>
      </c>
      <c r="N105" s="1" t="s">
        <v>72</v>
      </c>
      <c r="O105" s="1" t="s">
        <v>64</v>
      </c>
      <c r="P105" s="1" t="s">
        <v>133</v>
      </c>
      <c r="R105" s="93">
        <v>43174</v>
      </c>
      <c r="S105" s="93" t="s">
        <v>2693</v>
      </c>
    </row>
    <row r="106" spans="1:19">
      <c r="A106" s="92">
        <v>43176</v>
      </c>
      <c r="C106" s="1" t="s">
        <v>56</v>
      </c>
      <c r="E106" s="98" t="s">
        <v>1806</v>
      </c>
      <c r="F106" s="1" t="s">
        <v>1807</v>
      </c>
      <c r="G106" s="1" t="s">
        <v>2022</v>
      </c>
      <c r="H106" s="1">
        <v>1</v>
      </c>
      <c r="I106" s="1" t="s">
        <v>1721</v>
      </c>
      <c r="J106" s="1">
        <v>7.0000000000000007E-2</v>
      </c>
      <c r="K106" s="1" t="s">
        <v>242</v>
      </c>
      <c r="L106" s="1" t="s">
        <v>93</v>
      </c>
      <c r="M106" s="1" t="s">
        <v>94</v>
      </c>
      <c r="N106" s="1" t="s">
        <v>72</v>
      </c>
      <c r="O106" s="1" t="s">
        <v>64</v>
      </c>
      <c r="P106" s="1" t="s">
        <v>95</v>
      </c>
      <c r="R106" s="93">
        <v>43176</v>
      </c>
      <c r="S106" s="93" t="s">
        <v>2671</v>
      </c>
    </row>
    <row r="107" spans="1:19">
      <c r="A107" s="92">
        <v>43176</v>
      </c>
      <c r="C107" s="1" t="s">
        <v>56</v>
      </c>
      <c r="E107" s="98" t="s">
        <v>1806</v>
      </c>
      <c r="F107" s="1" t="s">
        <v>1807</v>
      </c>
      <c r="G107" s="1" t="s">
        <v>2022</v>
      </c>
      <c r="H107" s="1">
        <v>1.1000000000000001</v>
      </c>
      <c r="I107" s="1" t="s">
        <v>1721</v>
      </c>
      <c r="J107" s="1">
        <v>7.6999999999999999E-2</v>
      </c>
      <c r="K107" s="1" t="s">
        <v>242</v>
      </c>
      <c r="L107" s="1" t="s">
        <v>93</v>
      </c>
      <c r="M107" s="1" t="s">
        <v>94</v>
      </c>
      <c r="N107" s="1" t="s">
        <v>72</v>
      </c>
      <c r="O107" s="1" t="s">
        <v>64</v>
      </c>
      <c r="P107" s="1" t="s">
        <v>95</v>
      </c>
      <c r="R107" s="93">
        <v>43176</v>
      </c>
      <c r="S107" s="93" t="s">
        <v>2671</v>
      </c>
    </row>
    <row r="108" spans="1:19">
      <c r="A108" s="92">
        <v>43182</v>
      </c>
      <c r="C108" s="1" t="s">
        <v>56</v>
      </c>
      <c r="E108" s="98" t="s">
        <v>1806</v>
      </c>
      <c r="F108" s="1" t="s">
        <v>1807</v>
      </c>
      <c r="G108" s="1" t="s">
        <v>2022</v>
      </c>
      <c r="H108" s="1">
        <v>0.6</v>
      </c>
      <c r="I108" s="1" t="s">
        <v>1808</v>
      </c>
      <c r="J108" s="1">
        <v>0.252</v>
      </c>
      <c r="K108" s="1" t="s">
        <v>242</v>
      </c>
      <c r="L108" s="1" t="s">
        <v>93</v>
      </c>
      <c r="M108" s="1" t="s">
        <v>94</v>
      </c>
      <c r="N108" s="1" t="s">
        <v>72</v>
      </c>
      <c r="O108" s="1" t="s">
        <v>64</v>
      </c>
      <c r="P108" s="1" t="s">
        <v>95</v>
      </c>
      <c r="R108" s="93">
        <v>43182</v>
      </c>
      <c r="S108" s="93" t="s">
        <v>2694</v>
      </c>
    </row>
    <row r="109" spans="1:19">
      <c r="A109" s="92">
        <v>43164</v>
      </c>
      <c r="C109" s="1" t="s">
        <v>56</v>
      </c>
      <c r="E109" s="98" t="s">
        <v>1806</v>
      </c>
      <c r="F109" s="1" t="s">
        <v>1807</v>
      </c>
      <c r="G109" s="1" t="s">
        <v>2022</v>
      </c>
      <c r="H109" s="1">
        <v>1.53</v>
      </c>
      <c r="I109" s="1" t="s">
        <v>1766</v>
      </c>
      <c r="J109" s="1">
        <v>0.1071</v>
      </c>
      <c r="K109" s="1" t="s">
        <v>242</v>
      </c>
      <c r="L109" s="1" t="s">
        <v>93</v>
      </c>
      <c r="M109" s="1" t="s">
        <v>94</v>
      </c>
      <c r="N109" s="1" t="s">
        <v>72</v>
      </c>
      <c r="O109" s="1" t="s">
        <v>64</v>
      </c>
      <c r="P109" s="1" t="s">
        <v>95</v>
      </c>
      <c r="R109" s="93">
        <v>43164</v>
      </c>
      <c r="S109" s="93" t="s">
        <v>2684</v>
      </c>
    </row>
    <row r="110" spans="1:19">
      <c r="A110" s="92">
        <v>43180</v>
      </c>
      <c r="C110" s="1" t="s">
        <v>56</v>
      </c>
      <c r="E110" s="98" t="s">
        <v>786</v>
      </c>
      <c r="F110" s="1" t="s">
        <v>787</v>
      </c>
      <c r="G110" s="1" t="s">
        <v>2023</v>
      </c>
      <c r="H110" s="1">
        <v>16</v>
      </c>
      <c r="I110" s="1" t="s">
        <v>1761</v>
      </c>
      <c r="J110" s="1">
        <v>1.1200000000000001</v>
      </c>
      <c r="K110" s="1" t="s">
        <v>277</v>
      </c>
      <c r="L110" s="1" t="s">
        <v>269</v>
      </c>
      <c r="M110" s="1" t="s">
        <v>132</v>
      </c>
      <c r="N110" s="1" t="s">
        <v>72</v>
      </c>
      <c r="O110" s="1" t="s">
        <v>64</v>
      </c>
      <c r="P110" s="1" t="s">
        <v>133</v>
      </c>
      <c r="R110" s="93">
        <v>43180</v>
      </c>
      <c r="S110" s="93" t="s">
        <v>2687</v>
      </c>
    </row>
    <row r="111" spans="1:19">
      <c r="A111" s="92">
        <v>43175</v>
      </c>
      <c r="C111" s="1" t="s">
        <v>56</v>
      </c>
      <c r="E111" s="98" t="s">
        <v>1809</v>
      </c>
      <c r="F111" s="1" t="s">
        <v>1810</v>
      </c>
      <c r="G111" s="1" t="s">
        <v>2024</v>
      </c>
      <c r="H111" s="1">
        <v>0.01</v>
      </c>
      <c r="I111" s="1" t="s">
        <v>1676</v>
      </c>
      <c r="J111" s="1">
        <v>6.9999999999999999E-4</v>
      </c>
      <c r="K111" s="1" t="s">
        <v>93</v>
      </c>
      <c r="L111" s="1" t="s">
        <v>93</v>
      </c>
      <c r="M111" s="1" t="s">
        <v>94</v>
      </c>
      <c r="N111" s="1" t="s">
        <v>72</v>
      </c>
      <c r="O111" s="1" t="s">
        <v>64</v>
      </c>
      <c r="P111" s="1" t="s">
        <v>95</v>
      </c>
      <c r="R111" s="93">
        <v>43175</v>
      </c>
      <c r="S111" s="93" t="s">
        <v>2667</v>
      </c>
    </row>
    <row r="112" spans="1:19">
      <c r="A112" s="92">
        <v>43181</v>
      </c>
      <c r="C112" s="1" t="s">
        <v>56</v>
      </c>
      <c r="E112" s="98" t="s">
        <v>400</v>
      </c>
      <c r="F112" s="1" t="s">
        <v>401</v>
      </c>
      <c r="G112" s="1" t="s">
        <v>2025</v>
      </c>
      <c r="H112" s="1">
        <v>0.3</v>
      </c>
      <c r="I112" s="1" t="s">
        <v>1686</v>
      </c>
      <c r="J112" s="1">
        <v>2.1000000000000001E-2</v>
      </c>
      <c r="K112" s="1" t="s">
        <v>403</v>
      </c>
      <c r="L112" s="1" t="s">
        <v>216</v>
      </c>
      <c r="M112" s="1" t="s">
        <v>52</v>
      </c>
      <c r="N112" s="1" t="s">
        <v>63</v>
      </c>
      <c r="O112" s="1" t="s">
        <v>64</v>
      </c>
      <c r="P112" s="1" t="s">
        <v>111</v>
      </c>
      <c r="R112" s="93">
        <v>43181</v>
      </c>
      <c r="S112" s="93" t="s">
        <v>2662</v>
      </c>
    </row>
    <row r="113" spans="1:19">
      <c r="A113" s="92">
        <v>43190</v>
      </c>
      <c r="C113" s="1" t="s">
        <v>56</v>
      </c>
      <c r="E113" s="98" t="s">
        <v>1647</v>
      </c>
      <c r="F113" s="1" t="s">
        <v>92</v>
      </c>
      <c r="G113" s="1" t="s">
        <v>2026</v>
      </c>
      <c r="H113" s="1">
        <v>0.2</v>
      </c>
      <c r="I113" s="1" t="s">
        <v>1757</v>
      </c>
      <c r="J113" s="1">
        <v>1.4E-2</v>
      </c>
      <c r="K113" s="1" t="s">
        <v>92</v>
      </c>
      <c r="L113" s="1" t="s">
        <v>93</v>
      </c>
      <c r="M113" s="1" t="s">
        <v>94</v>
      </c>
      <c r="N113" s="1" t="s">
        <v>72</v>
      </c>
      <c r="O113" s="1" t="s">
        <v>64</v>
      </c>
      <c r="P113" s="1" t="s">
        <v>95</v>
      </c>
      <c r="R113" s="93">
        <v>43190</v>
      </c>
      <c r="S113" s="93" t="s">
        <v>2686</v>
      </c>
    </row>
    <row r="114" spans="1:19">
      <c r="A114" s="92">
        <v>43165</v>
      </c>
      <c r="C114" s="1" t="s">
        <v>56</v>
      </c>
      <c r="E114" s="98" t="s">
        <v>357</v>
      </c>
      <c r="F114" s="1" t="s">
        <v>358</v>
      </c>
      <c r="G114" s="1" t="s">
        <v>2027</v>
      </c>
      <c r="H114" s="1">
        <v>0.81</v>
      </c>
      <c r="I114" s="1" t="s">
        <v>1782</v>
      </c>
      <c r="J114" s="1">
        <v>5.67E-2</v>
      </c>
      <c r="K114" s="1" t="s">
        <v>358</v>
      </c>
      <c r="L114" s="1" t="s">
        <v>117</v>
      </c>
      <c r="M114" s="1" t="s">
        <v>2661</v>
      </c>
      <c r="N114" s="1" t="s">
        <v>72</v>
      </c>
      <c r="O114" s="1" t="s">
        <v>64</v>
      </c>
      <c r="P114" s="1" t="s">
        <v>53</v>
      </c>
      <c r="R114" s="93">
        <v>43165</v>
      </c>
      <c r="S114" s="93" t="s">
        <v>2690</v>
      </c>
    </row>
    <row r="115" spans="1:19">
      <c r="A115" s="92">
        <v>43176</v>
      </c>
      <c r="C115" s="1" t="s">
        <v>56</v>
      </c>
      <c r="E115" s="98" t="s">
        <v>1467</v>
      </c>
      <c r="F115" s="1" t="s">
        <v>580</v>
      </c>
      <c r="G115" s="1" t="s">
        <v>2028</v>
      </c>
      <c r="H115" s="1">
        <v>0.8</v>
      </c>
      <c r="I115" s="1" t="s">
        <v>1795</v>
      </c>
      <c r="J115" s="1">
        <v>5.6000000000000001E-2</v>
      </c>
      <c r="K115" s="1" t="s">
        <v>580</v>
      </c>
      <c r="L115" s="1" t="s">
        <v>150</v>
      </c>
      <c r="M115" s="1" t="s">
        <v>132</v>
      </c>
      <c r="N115" s="1" t="s">
        <v>72</v>
      </c>
      <c r="O115" s="1" t="s">
        <v>64</v>
      </c>
      <c r="P115" s="1" t="s">
        <v>133</v>
      </c>
      <c r="R115" s="93">
        <v>43176</v>
      </c>
      <c r="S115" s="93" t="s">
        <v>2682</v>
      </c>
    </row>
    <row r="116" spans="1:19">
      <c r="A116" s="92">
        <v>43179</v>
      </c>
      <c r="C116" s="1" t="s">
        <v>56</v>
      </c>
      <c r="E116" s="98" t="s">
        <v>1467</v>
      </c>
      <c r="F116" s="1" t="s">
        <v>580</v>
      </c>
      <c r="G116" s="1" t="s">
        <v>2028</v>
      </c>
      <c r="H116" s="1">
        <v>2</v>
      </c>
      <c r="I116" s="1" t="s">
        <v>1800</v>
      </c>
      <c r="J116" s="1">
        <v>0.14000000000000001</v>
      </c>
      <c r="K116" s="1" t="s">
        <v>580</v>
      </c>
      <c r="L116" s="1" t="s">
        <v>150</v>
      </c>
      <c r="M116" s="1" t="s">
        <v>132</v>
      </c>
      <c r="N116" s="1" t="s">
        <v>72</v>
      </c>
      <c r="O116" s="1" t="s">
        <v>64</v>
      </c>
      <c r="P116" s="1" t="s">
        <v>133</v>
      </c>
      <c r="R116" s="93">
        <v>43179</v>
      </c>
      <c r="S116" s="93" t="s">
        <v>2678</v>
      </c>
    </row>
    <row r="117" spans="1:19">
      <c r="A117" s="92">
        <v>43169</v>
      </c>
      <c r="C117" s="1" t="s">
        <v>56</v>
      </c>
      <c r="E117" s="98" t="s">
        <v>898</v>
      </c>
      <c r="F117" s="1" t="s">
        <v>899</v>
      </c>
      <c r="G117" s="1" t="s">
        <v>2029</v>
      </c>
      <c r="H117" s="1">
        <v>1</v>
      </c>
      <c r="I117" s="1" t="s">
        <v>1762</v>
      </c>
      <c r="J117" s="1">
        <v>7.0000000000000007E-2</v>
      </c>
      <c r="K117" s="1" t="s">
        <v>124</v>
      </c>
      <c r="L117" s="1" t="s">
        <v>117</v>
      </c>
      <c r="M117" s="1" t="s">
        <v>2661</v>
      </c>
      <c r="N117" s="1" t="s">
        <v>72</v>
      </c>
      <c r="O117" s="1" t="s">
        <v>64</v>
      </c>
      <c r="P117" s="1" t="s">
        <v>53</v>
      </c>
      <c r="R117" s="93">
        <v>43169</v>
      </c>
      <c r="S117" s="93" t="s">
        <v>2669</v>
      </c>
    </row>
    <row r="118" spans="1:19">
      <c r="A118" s="92">
        <v>43172</v>
      </c>
      <c r="C118" s="1" t="s">
        <v>56</v>
      </c>
      <c r="E118" s="98" t="s">
        <v>1815</v>
      </c>
      <c r="F118" s="1" t="s">
        <v>1816</v>
      </c>
      <c r="G118" s="1" t="s">
        <v>2030</v>
      </c>
      <c r="H118" s="1">
        <v>3.7</v>
      </c>
      <c r="I118" s="1" t="s">
        <v>1817</v>
      </c>
      <c r="J118" s="1">
        <v>0.25900000000000001</v>
      </c>
      <c r="K118" s="1" t="s">
        <v>167</v>
      </c>
      <c r="L118" s="1" t="s">
        <v>117</v>
      </c>
      <c r="M118" s="1" t="s">
        <v>2661</v>
      </c>
      <c r="N118" s="1" t="s">
        <v>72</v>
      </c>
      <c r="O118" s="1" t="s">
        <v>64</v>
      </c>
      <c r="P118" s="1" t="s">
        <v>53</v>
      </c>
      <c r="R118" s="93">
        <v>43172</v>
      </c>
      <c r="S118" s="93" t="s">
        <v>2688</v>
      </c>
    </row>
    <row r="119" spans="1:19">
      <c r="A119" s="92">
        <v>43187</v>
      </c>
      <c r="C119" s="1" t="s">
        <v>56</v>
      </c>
      <c r="E119" s="98" t="s">
        <v>1815</v>
      </c>
      <c r="F119" s="1" t="s">
        <v>1816</v>
      </c>
      <c r="G119" s="1" t="s">
        <v>2030</v>
      </c>
      <c r="H119" s="1">
        <v>3</v>
      </c>
      <c r="I119" s="1" t="s">
        <v>1818</v>
      </c>
      <c r="J119" s="1">
        <v>0.21</v>
      </c>
      <c r="K119" s="1" t="s">
        <v>167</v>
      </c>
      <c r="L119" s="1" t="s">
        <v>117</v>
      </c>
      <c r="M119" s="1" t="s">
        <v>2661</v>
      </c>
      <c r="N119" s="1" t="s">
        <v>72</v>
      </c>
      <c r="O119" s="1" t="s">
        <v>64</v>
      </c>
      <c r="P119" s="1" t="s">
        <v>53</v>
      </c>
      <c r="R119" s="93">
        <v>43187</v>
      </c>
      <c r="S119" s="93" t="s">
        <v>2695</v>
      </c>
    </row>
    <row r="120" spans="1:19">
      <c r="A120" s="92">
        <v>43164</v>
      </c>
      <c r="C120" s="1" t="s">
        <v>56</v>
      </c>
      <c r="E120" s="98" t="s">
        <v>1819</v>
      </c>
      <c r="F120" s="1" t="s">
        <v>1820</v>
      </c>
      <c r="G120" s="1" t="s">
        <v>2031</v>
      </c>
      <c r="H120" s="1">
        <v>0.1</v>
      </c>
      <c r="I120" s="1" t="s">
        <v>1787</v>
      </c>
      <c r="J120" s="1">
        <v>7.0000000000000001E-3</v>
      </c>
      <c r="K120" s="1" t="s">
        <v>149</v>
      </c>
      <c r="L120" s="1" t="s">
        <v>150</v>
      </c>
      <c r="M120" s="1" t="s">
        <v>132</v>
      </c>
      <c r="N120" s="1" t="s">
        <v>72</v>
      </c>
      <c r="O120" s="1" t="s">
        <v>64</v>
      </c>
      <c r="P120" s="1" t="s">
        <v>133</v>
      </c>
      <c r="R120" s="93">
        <v>43164</v>
      </c>
      <c r="S120" s="93" t="s">
        <v>2675</v>
      </c>
    </row>
    <row r="121" spans="1:19">
      <c r="A121" s="92">
        <v>43172</v>
      </c>
      <c r="C121" s="1" t="s">
        <v>56</v>
      </c>
      <c r="E121" s="98" t="s">
        <v>1226</v>
      </c>
      <c r="F121" s="1" t="s">
        <v>1227</v>
      </c>
      <c r="G121" s="1" t="s">
        <v>2032</v>
      </c>
      <c r="H121" s="1">
        <v>0.01</v>
      </c>
      <c r="I121" s="1" t="s">
        <v>1663</v>
      </c>
      <c r="J121" s="1">
        <v>6.9999999999999999E-4</v>
      </c>
      <c r="K121" s="1" t="s">
        <v>144</v>
      </c>
      <c r="L121" s="1" t="s">
        <v>93</v>
      </c>
      <c r="M121" s="1" t="s">
        <v>94</v>
      </c>
      <c r="N121" s="1" t="s">
        <v>72</v>
      </c>
      <c r="O121" s="1" t="s">
        <v>64</v>
      </c>
      <c r="P121" s="1" t="s">
        <v>95</v>
      </c>
      <c r="R121" s="93">
        <v>43172</v>
      </c>
      <c r="S121" s="93" t="s">
        <v>2683</v>
      </c>
    </row>
    <row r="122" spans="1:19">
      <c r="A122" s="92">
        <v>43172</v>
      </c>
      <c r="C122" s="1" t="s">
        <v>56</v>
      </c>
      <c r="E122" s="98" t="s">
        <v>1821</v>
      </c>
      <c r="F122" s="1" t="s">
        <v>1822</v>
      </c>
      <c r="G122" s="1" t="s">
        <v>2033</v>
      </c>
      <c r="H122" s="1">
        <v>0.1</v>
      </c>
      <c r="I122" s="1" t="s">
        <v>1817</v>
      </c>
      <c r="J122" s="1">
        <v>7.0000000000000001E-3</v>
      </c>
      <c r="K122" s="1" t="s">
        <v>242</v>
      </c>
      <c r="L122" s="1" t="s">
        <v>93</v>
      </c>
      <c r="M122" s="1" t="s">
        <v>94</v>
      </c>
      <c r="N122" s="1" t="s">
        <v>72</v>
      </c>
      <c r="O122" s="1" t="s">
        <v>64</v>
      </c>
      <c r="P122" s="1" t="s">
        <v>95</v>
      </c>
      <c r="R122" s="93">
        <v>43172</v>
      </c>
      <c r="S122" s="93" t="s">
        <v>2688</v>
      </c>
    </row>
    <row r="123" spans="1:19">
      <c r="A123" s="92">
        <v>43177</v>
      </c>
      <c r="C123" s="1" t="s">
        <v>56</v>
      </c>
      <c r="E123" s="98" t="s">
        <v>1821</v>
      </c>
      <c r="F123" s="1" t="s">
        <v>1822</v>
      </c>
      <c r="G123" s="1" t="s">
        <v>2033</v>
      </c>
      <c r="H123" s="1">
        <v>0.61</v>
      </c>
      <c r="I123" s="1" t="s">
        <v>1823</v>
      </c>
      <c r="J123" s="1">
        <v>4.2700000000000002E-2</v>
      </c>
      <c r="K123" s="1" t="s">
        <v>242</v>
      </c>
      <c r="L123" s="1" t="s">
        <v>93</v>
      </c>
      <c r="M123" s="1" t="s">
        <v>94</v>
      </c>
      <c r="N123" s="1" t="s">
        <v>72</v>
      </c>
      <c r="O123" s="1" t="s">
        <v>64</v>
      </c>
      <c r="P123" s="1" t="s">
        <v>95</v>
      </c>
      <c r="R123" s="93">
        <v>43177</v>
      </c>
      <c r="S123" s="93" t="s">
        <v>2682</v>
      </c>
    </row>
    <row r="124" spans="1:19">
      <c r="A124" s="92">
        <v>43171</v>
      </c>
      <c r="C124" s="1" t="s">
        <v>56</v>
      </c>
      <c r="E124" s="98" t="s">
        <v>1824</v>
      </c>
      <c r="F124" s="1" t="s">
        <v>1825</v>
      </c>
      <c r="G124" s="1" t="s">
        <v>2034</v>
      </c>
      <c r="H124" s="1">
        <v>0.1</v>
      </c>
      <c r="I124" s="1" t="s">
        <v>1826</v>
      </c>
      <c r="J124" s="1">
        <v>7.0000000000000001E-3</v>
      </c>
      <c r="K124" s="1" t="s">
        <v>164</v>
      </c>
      <c r="L124" s="1" t="s">
        <v>93</v>
      </c>
      <c r="M124" s="1" t="s">
        <v>94</v>
      </c>
      <c r="N124" s="1" t="s">
        <v>72</v>
      </c>
      <c r="O124" s="1" t="s">
        <v>64</v>
      </c>
      <c r="P124" s="1" t="s">
        <v>95</v>
      </c>
      <c r="R124" s="93">
        <v>43171</v>
      </c>
      <c r="S124" s="93" t="s">
        <v>2680</v>
      </c>
    </row>
    <row r="125" spans="1:19">
      <c r="A125" s="92">
        <v>43182</v>
      </c>
      <c r="C125" s="1" t="s">
        <v>56</v>
      </c>
      <c r="E125" s="98" t="s">
        <v>1827</v>
      </c>
      <c r="F125" s="1" t="s">
        <v>1828</v>
      </c>
      <c r="G125" s="1" t="s">
        <v>2035</v>
      </c>
      <c r="H125" s="1">
        <v>0.5</v>
      </c>
      <c r="I125" s="1" t="s">
        <v>1652</v>
      </c>
      <c r="J125" s="1">
        <v>3.5000000000000003E-2</v>
      </c>
      <c r="K125" s="1" t="s">
        <v>619</v>
      </c>
      <c r="L125" s="1" t="s">
        <v>269</v>
      </c>
      <c r="M125" s="1" t="s">
        <v>132</v>
      </c>
      <c r="N125" s="1" t="s">
        <v>72</v>
      </c>
      <c r="O125" s="1" t="s">
        <v>64</v>
      </c>
      <c r="P125" s="1" t="s">
        <v>133</v>
      </c>
      <c r="R125" s="93">
        <v>43182</v>
      </c>
      <c r="S125" s="93" t="s">
        <v>2662</v>
      </c>
    </row>
    <row r="126" spans="1:19">
      <c r="A126" s="92">
        <v>43176</v>
      </c>
      <c r="C126" s="1" t="s">
        <v>56</v>
      </c>
      <c r="E126" s="98" t="s">
        <v>1829</v>
      </c>
      <c r="F126" s="1" t="s">
        <v>1830</v>
      </c>
      <c r="G126" s="1" t="s">
        <v>2036</v>
      </c>
      <c r="H126" s="1">
        <v>1.3</v>
      </c>
      <c r="I126" s="1" t="s">
        <v>1721</v>
      </c>
      <c r="J126" s="1">
        <v>9.0999999999999984E-2</v>
      </c>
      <c r="K126" s="1" t="s">
        <v>60</v>
      </c>
      <c r="L126" s="1" t="s">
        <v>61</v>
      </c>
      <c r="M126" s="1" t="s">
        <v>62</v>
      </c>
      <c r="N126" s="1" t="s">
        <v>63</v>
      </c>
      <c r="O126" s="1" t="s">
        <v>64</v>
      </c>
      <c r="P126" s="1" t="s">
        <v>65</v>
      </c>
      <c r="R126" s="93">
        <v>43176</v>
      </c>
      <c r="S126" s="93" t="s">
        <v>2671</v>
      </c>
    </row>
    <row r="127" spans="1:19">
      <c r="A127" s="92">
        <v>43177</v>
      </c>
      <c r="C127" s="1" t="s">
        <v>56</v>
      </c>
      <c r="E127" s="98" t="s">
        <v>1831</v>
      </c>
      <c r="F127" s="1" t="s">
        <v>1832</v>
      </c>
      <c r="G127" s="1" t="s">
        <v>2037</v>
      </c>
      <c r="H127" s="1">
        <v>0.01</v>
      </c>
      <c r="I127" s="1" t="s">
        <v>1833</v>
      </c>
      <c r="J127" s="1">
        <v>6.9999999999999999E-4</v>
      </c>
      <c r="K127" s="1" t="s">
        <v>1119</v>
      </c>
      <c r="L127" s="1" t="s">
        <v>110</v>
      </c>
      <c r="M127" s="1" t="s">
        <v>52</v>
      </c>
      <c r="N127" s="1" t="s">
        <v>63</v>
      </c>
      <c r="O127" s="1" t="s">
        <v>64</v>
      </c>
      <c r="P127" s="1" t="s">
        <v>111</v>
      </c>
      <c r="R127" s="93">
        <v>43177</v>
      </c>
      <c r="S127" s="93" t="s">
        <v>2671</v>
      </c>
    </row>
    <row r="128" spans="1:19">
      <c r="A128" s="92">
        <v>43171</v>
      </c>
      <c r="C128" s="1" t="s">
        <v>56</v>
      </c>
      <c r="E128" s="98" t="s">
        <v>1834</v>
      </c>
      <c r="F128" s="1" t="s">
        <v>1835</v>
      </c>
      <c r="G128" s="1" t="s">
        <v>2038</v>
      </c>
      <c r="H128" s="1">
        <v>0.08</v>
      </c>
      <c r="I128" s="1" t="s">
        <v>1685</v>
      </c>
      <c r="J128" s="1">
        <v>5.5999999999999999E-3</v>
      </c>
      <c r="K128" s="1" t="s">
        <v>167</v>
      </c>
      <c r="L128" s="1" t="s">
        <v>117</v>
      </c>
      <c r="M128" s="1" t="s">
        <v>2661</v>
      </c>
      <c r="N128" s="1" t="s">
        <v>72</v>
      </c>
      <c r="O128" s="1" t="s">
        <v>64</v>
      </c>
      <c r="P128" s="1" t="s">
        <v>53</v>
      </c>
      <c r="R128" s="93">
        <v>43171</v>
      </c>
      <c r="S128" s="93" t="s">
        <v>2683</v>
      </c>
    </row>
    <row r="129" spans="1:19">
      <c r="A129" s="92">
        <v>43160</v>
      </c>
      <c r="C129" s="1" t="s">
        <v>56</v>
      </c>
      <c r="E129" s="98" t="s">
        <v>1834</v>
      </c>
      <c r="F129" s="1" t="s">
        <v>1835</v>
      </c>
      <c r="G129" s="1" t="s">
        <v>2038</v>
      </c>
      <c r="H129" s="1">
        <v>1.5</v>
      </c>
      <c r="I129" s="1" t="s">
        <v>1689</v>
      </c>
      <c r="J129" s="1">
        <v>0.105</v>
      </c>
      <c r="K129" s="1" t="s">
        <v>167</v>
      </c>
      <c r="L129" s="1" t="s">
        <v>117</v>
      </c>
      <c r="M129" s="1" t="s">
        <v>2661</v>
      </c>
      <c r="N129" s="1" t="s">
        <v>72</v>
      </c>
      <c r="O129" s="1" t="s">
        <v>64</v>
      </c>
      <c r="P129" s="1" t="s">
        <v>53</v>
      </c>
      <c r="R129" s="93">
        <v>43160</v>
      </c>
      <c r="S129" s="93" t="s">
        <v>2696</v>
      </c>
    </row>
    <row r="130" spans="1:19">
      <c r="A130" s="92">
        <v>43177</v>
      </c>
      <c r="C130" s="1" t="s">
        <v>56</v>
      </c>
      <c r="E130" s="98" t="s">
        <v>1836</v>
      </c>
      <c r="F130" s="1" t="s">
        <v>1837</v>
      </c>
      <c r="G130" s="1" t="s">
        <v>2039</v>
      </c>
      <c r="H130" s="1">
        <v>0.2</v>
      </c>
      <c r="I130" s="1" t="s">
        <v>1736</v>
      </c>
      <c r="J130" s="1">
        <v>1.4E-2</v>
      </c>
      <c r="K130" s="1" t="s">
        <v>268</v>
      </c>
      <c r="L130" s="1" t="s">
        <v>269</v>
      </c>
      <c r="M130" s="1" t="s">
        <v>132</v>
      </c>
      <c r="N130" s="1" t="s">
        <v>72</v>
      </c>
      <c r="O130" s="1" t="s">
        <v>64</v>
      </c>
      <c r="P130" s="1" t="s">
        <v>133</v>
      </c>
      <c r="R130" s="93">
        <v>43177</v>
      </c>
      <c r="S130" s="93" t="s">
        <v>2682</v>
      </c>
    </row>
    <row r="131" spans="1:19">
      <c r="A131" s="92">
        <v>43183</v>
      </c>
      <c r="C131" s="1" t="s">
        <v>56</v>
      </c>
      <c r="E131" s="98" t="s">
        <v>1838</v>
      </c>
      <c r="F131" s="1" t="s">
        <v>1839</v>
      </c>
      <c r="G131" s="1" t="s">
        <v>2040</v>
      </c>
      <c r="H131" s="1">
        <v>0.5</v>
      </c>
      <c r="I131" s="1" t="s">
        <v>1666</v>
      </c>
      <c r="J131" s="1">
        <v>3.5000000000000003E-2</v>
      </c>
      <c r="K131" s="1" t="s">
        <v>201</v>
      </c>
      <c r="L131" s="1" t="s">
        <v>61</v>
      </c>
      <c r="M131" s="1" t="s">
        <v>62</v>
      </c>
      <c r="N131" s="1" t="s">
        <v>63</v>
      </c>
      <c r="O131" s="1" t="s">
        <v>64</v>
      </c>
      <c r="P131" s="1" t="s">
        <v>65</v>
      </c>
      <c r="R131" s="93">
        <v>43183</v>
      </c>
      <c r="S131" s="93" t="s">
        <v>2668</v>
      </c>
    </row>
    <row r="132" spans="1:19">
      <c r="A132" s="92">
        <v>43163</v>
      </c>
      <c r="C132" s="1" t="s">
        <v>56</v>
      </c>
      <c r="E132" s="98" t="s">
        <v>254</v>
      </c>
      <c r="F132" s="1" t="s">
        <v>255</v>
      </c>
      <c r="G132" s="1" t="s">
        <v>2041</v>
      </c>
      <c r="H132" s="1">
        <v>3.06</v>
      </c>
      <c r="I132" s="1" t="s">
        <v>1840</v>
      </c>
      <c r="J132" s="1">
        <v>0.2142</v>
      </c>
      <c r="K132" s="1" t="s">
        <v>150</v>
      </c>
      <c r="L132" s="1" t="s">
        <v>150</v>
      </c>
      <c r="M132" s="1" t="s">
        <v>132</v>
      </c>
      <c r="N132" s="1" t="s">
        <v>72</v>
      </c>
      <c r="O132" s="1" t="s">
        <v>64</v>
      </c>
      <c r="P132" s="1" t="s">
        <v>133</v>
      </c>
      <c r="R132" s="93">
        <v>43163</v>
      </c>
      <c r="S132" s="93" t="s">
        <v>2691</v>
      </c>
    </row>
    <row r="133" spans="1:19">
      <c r="A133" s="92">
        <v>43163</v>
      </c>
      <c r="C133" s="1" t="s">
        <v>56</v>
      </c>
      <c r="E133" s="98" t="s">
        <v>254</v>
      </c>
      <c r="F133" s="1" t="s">
        <v>255</v>
      </c>
      <c r="G133" s="1" t="s">
        <v>2041</v>
      </c>
      <c r="H133" s="1">
        <v>3.06</v>
      </c>
      <c r="I133" s="1" t="s">
        <v>1840</v>
      </c>
      <c r="J133" s="1">
        <v>0.2142</v>
      </c>
      <c r="K133" s="1" t="s">
        <v>150</v>
      </c>
      <c r="L133" s="1" t="s">
        <v>150</v>
      </c>
      <c r="M133" s="1" t="s">
        <v>132</v>
      </c>
      <c r="N133" s="1" t="s">
        <v>72</v>
      </c>
      <c r="O133" s="1" t="s">
        <v>64</v>
      </c>
      <c r="P133" s="1" t="s">
        <v>133</v>
      </c>
      <c r="R133" s="93">
        <v>43163</v>
      </c>
      <c r="S133" s="93" t="s">
        <v>2692</v>
      </c>
    </row>
    <row r="134" spans="1:19">
      <c r="A134" s="92">
        <v>43175</v>
      </c>
      <c r="C134" s="1" t="s">
        <v>56</v>
      </c>
      <c r="E134" s="98" t="s">
        <v>1841</v>
      </c>
      <c r="F134" s="1" t="s">
        <v>1842</v>
      </c>
      <c r="G134" s="1" t="s">
        <v>2042</v>
      </c>
      <c r="H134" s="1">
        <v>0.3</v>
      </c>
      <c r="I134" s="1" t="s">
        <v>1670</v>
      </c>
      <c r="J134" s="1">
        <v>2.1000000000000001E-2</v>
      </c>
      <c r="K134" s="1" t="s">
        <v>659</v>
      </c>
      <c r="L134" s="1" t="s">
        <v>193</v>
      </c>
      <c r="M134" s="1" t="s">
        <v>62</v>
      </c>
      <c r="N134" s="1" t="s">
        <v>63</v>
      </c>
      <c r="O134" s="1" t="s">
        <v>64</v>
      </c>
      <c r="P134" s="1" t="s">
        <v>65</v>
      </c>
      <c r="R134" s="93">
        <v>43175</v>
      </c>
      <c r="S134" s="93" t="s">
        <v>2665</v>
      </c>
    </row>
    <row r="135" spans="1:19">
      <c r="A135" s="92">
        <v>43167</v>
      </c>
      <c r="C135" s="1" t="s">
        <v>56</v>
      </c>
      <c r="E135" s="98" t="s">
        <v>1843</v>
      </c>
      <c r="F135" s="1" t="s">
        <v>1844</v>
      </c>
      <c r="G135" s="1" t="s">
        <v>2043</v>
      </c>
      <c r="H135" s="1">
        <v>0.01</v>
      </c>
      <c r="I135" s="1" t="s">
        <v>1845</v>
      </c>
      <c r="J135" s="1">
        <v>6.9999999999999999E-4</v>
      </c>
      <c r="K135" s="1" t="s">
        <v>144</v>
      </c>
      <c r="L135" s="1" t="s">
        <v>93</v>
      </c>
      <c r="M135" s="1" t="s">
        <v>94</v>
      </c>
      <c r="N135" s="1" t="s">
        <v>72</v>
      </c>
      <c r="O135" s="1" t="s">
        <v>64</v>
      </c>
      <c r="P135" s="1" t="s">
        <v>95</v>
      </c>
      <c r="R135" s="93">
        <v>43167</v>
      </c>
      <c r="S135" s="93" t="s">
        <v>2690</v>
      </c>
    </row>
    <row r="136" spans="1:19">
      <c r="A136" s="92">
        <v>43161</v>
      </c>
      <c r="C136" s="1" t="s">
        <v>56</v>
      </c>
      <c r="E136" s="98" t="s">
        <v>1846</v>
      </c>
      <c r="F136" s="1" t="s">
        <v>1847</v>
      </c>
      <c r="G136" s="1" t="s">
        <v>2044</v>
      </c>
      <c r="H136" s="1">
        <v>0.54</v>
      </c>
      <c r="I136" s="1" t="s">
        <v>1722</v>
      </c>
      <c r="J136" s="1">
        <v>3.78E-2</v>
      </c>
      <c r="K136" s="1" t="s">
        <v>60</v>
      </c>
      <c r="L136" s="1" t="s">
        <v>61</v>
      </c>
      <c r="M136" s="1" t="s">
        <v>62</v>
      </c>
      <c r="N136" s="1" t="s">
        <v>63</v>
      </c>
      <c r="O136" s="1" t="s">
        <v>64</v>
      </c>
      <c r="P136" s="1" t="s">
        <v>65</v>
      </c>
      <c r="R136" s="93">
        <v>43161</v>
      </c>
      <c r="S136" s="93" t="s">
        <v>2679</v>
      </c>
    </row>
    <row r="137" spans="1:19">
      <c r="A137" s="92">
        <v>43167</v>
      </c>
      <c r="C137" s="1" t="s">
        <v>56</v>
      </c>
      <c r="E137" s="98" t="s">
        <v>1848</v>
      </c>
      <c r="F137" s="1" t="s">
        <v>1849</v>
      </c>
      <c r="G137" s="1" t="s">
        <v>2045</v>
      </c>
      <c r="H137" s="1">
        <v>0.1</v>
      </c>
      <c r="I137" s="1" t="s">
        <v>1694</v>
      </c>
      <c r="J137" s="1">
        <v>7.0000000000000001E-3</v>
      </c>
      <c r="K137" s="1" t="s">
        <v>144</v>
      </c>
      <c r="L137" s="1" t="s">
        <v>93</v>
      </c>
      <c r="M137" s="1" t="s">
        <v>94</v>
      </c>
      <c r="N137" s="1" t="s">
        <v>72</v>
      </c>
      <c r="O137" s="1" t="s">
        <v>64</v>
      </c>
      <c r="P137" s="1" t="s">
        <v>95</v>
      </c>
      <c r="R137" s="93">
        <v>43167</v>
      </c>
      <c r="S137" s="93" t="s">
        <v>2672</v>
      </c>
    </row>
    <row r="138" spans="1:19">
      <c r="A138" s="92">
        <v>43169</v>
      </c>
      <c r="C138" s="1" t="s">
        <v>56</v>
      </c>
      <c r="E138" s="98" t="s">
        <v>1850</v>
      </c>
      <c r="F138" s="1" t="s">
        <v>1851</v>
      </c>
      <c r="G138" s="1" t="s">
        <v>2046</v>
      </c>
      <c r="H138" s="1">
        <v>0.05</v>
      </c>
      <c r="I138" s="1" t="s">
        <v>1762</v>
      </c>
      <c r="J138" s="1">
        <v>3.5000000000000001E-3</v>
      </c>
      <c r="K138" s="1" t="s">
        <v>175</v>
      </c>
      <c r="L138" s="1" t="s">
        <v>131</v>
      </c>
      <c r="M138" s="1" t="s">
        <v>132</v>
      </c>
      <c r="N138" s="1" t="s">
        <v>72</v>
      </c>
      <c r="O138" s="1" t="s">
        <v>64</v>
      </c>
      <c r="P138" s="1" t="s">
        <v>133</v>
      </c>
      <c r="R138" s="93">
        <v>43169</v>
      </c>
      <c r="S138" s="93" t="s">
        <v>2669</v>
      </c>
    </row>
    <row r="139" spans="1:19">
      <c r="A139" s="92">
        <v>43176</v>
      </c>
      <c r="C139" s="1" t="s">
        <v>56</v>
      </c>
      <c r="E139" s="98" t="s">
        <v>1850</v>
      </c>
      <c r="F139" s="1" t="s">
        <v>1851</v>
      </c>
      <c r="G139" s="1" t="s">
        <v>2046</v>
      </c>
      <c r="H139" s="1">
        <v>0.1</v>
      </c>
      <c r="I139" s="1" t="s">
        <v>1778</v>
      </c>
      <c r="J139" s="1">
        <v>7.0000000000000001E-3</v>
      </c>
      <c r="K139" s="1" t="s">
        <v>175</v>
      </c>
      <c r="L139" s="1" t="s">
        <v>131</v>
      </c>
      <c r="M139" s="1" t="s">
        <v>132</v>
      </c>
      <c r="N139" s="1" t="s">
        <v>72</v>
      </c>
      <c r="O139" s="1" t="s">
        <v>64</v>
      </c>
      <c r="P139" s="1" t="s">
        <v>133</v>
      </c>
      <c r="R139" s="93">
        <v>43176</v>
      </c>
      <c r="S139" s="93" t="s">
        <v>2671</v>
      </c>
    </row>
    <row r="140" spans="1:19">
      <c r="A140" s="92">
        <v>43167</v>
      </c>
      <c r="C140" s="1" t="s">
        <v>56</v>
      </c>
      <c r="E140" s="98" t="s">
        <v>719</v>
      </c>
      <c r="F140" s="1" t="s">
        <v>720</v>
      </c>
      <c r="G140" s="1" t="s">
        <v>2047</v>
      </c>
      <c r="H140" s="1">
        <v>0.1</v>
      </c>
      <c r="I140" s="1" t="s">
        <v>1845</v>
      </c>
      <c r="J140" s="1">
        <v>7.0000000000000001E-3</v>
      </c>
      <c r="K140" s="1" t="s">
        <v>136</v>
      </c>
      <c r="L140" s="1" t="s">
        <v>85</v>
      </c>
      <c r="M140" s="1" t="s">
        <v>71</v>
      </c>
      <c r="N140" s="1" t="s">
        <v>72</v>
      </c>
      <c r="O140" s="1" t="s">
        <v>64</v>
      </c>
      <c r="P140" s="1" t="s">
        <v>73</v>
      </c>
      <c r="R140" s="93">
        <v>43167</v>
      </c>
      <c r="S140" s="93" t="s">
        <v>2690</v>
      </c>
    </row>
    <row r="141" spans="1:19">
      <c r="A141" s="92">
        <v>43185</v>
      </c>
      <c r="C141" s="1" t="s">
        <v>56</v>
      </c>
      <c r="E141" s="98" t="s">
        <v>1852</v>
      </c>
      <c r="F141" s="1" t="s">
        <v>1853</v>
      </c>
      <c r="G141" s="1" t="s">
        <v>2048</v>
      </c>
      <c r="H141" s="1">
        <v>0.5</v>
      </c>
      <c r="I141" s="1" t="s">
        <v>1733</v>
      </c>
      <c r="J141" s="1">
        <v>3.5000000000000003E-2</v>
      </c>
      <c r="K141" s="1" t="s">
        <v>226</v>
      </c>
      <c r="L141" s="1" t="s">
        <v>117</v>
      </c>
      <c r="M141" s="1" t="s">
        <v>2661</v>
      </c>
      <c r="N141" s="1" t="s">
        <v>72</v>
      </c>
      <c r="O141" s="1" t="s">
        <v>64</v>
      </c>
      <c r="P141" s="1" t="s">
        <v>53</v>
      </c>
      <c r="R141" s="93">
        <v>43185</v>
      </c>
      <c r="S141" s="93" t="s">
        <v>2681</v>
      </c>
    </row>
    <row r="142" spans="1:19">
      <c r="A142" s="92">
        <v>43188</v>
      </c>
      <c r="C142" s="1" t="s">
        <v>56</v>
      </c>
      <c r="E142" s="98" t="s">
        <v>1854</v>
      </c>
      <c r="F142" s="1" t="s">
        <v>1855</v>
      </c>
      <c r="G142" s="1" t="s">
        <v>2049</v>
      </c>
      <c r="H142" s="1">
        <v>0.05</v>
      </c>
      <c r="I142" s="1" t="s">
        <v>1714</v>
      </c>
      <c r="J142" s="1">
        <v>3.5000000000000001E-3</v>
      </c>
      <c r="K142" s="1" t="s">
        <v>291</v>
      </c>
      <c r="L142" s="1" t="s">
        <v>85</v>
      </c>
      <c r="M142" s="1" t="s">
        <v>71</v>
      </c>
      <c r="N142" s="1" t="s">
        <v>72</v>
      </c>
      <c r="O142" s="1" t="s">
        <v>64</v>
      </c>
      <c r="P142" s="1" t="s">
        <v>73</v>
      </c>
      <c r="R142" s="93">
        <v>43188</v>
      </c>
      <c r="S142" s="93" t="s">
        <v>2677</v>
      </c>
    </row>
    <row r="143" spans="1:19">
      <c r="A143" s="92">
        <v>43169</v>
      </c>
      <c r="C143" s="1" t="s">
        <v>56</v>
      </c>
      <c r="E143" s="98" t="s">
        <v>1856</v>
      </c>
      <c r="F143" s="1" t="s">
        <v>1857</v>
      </c>
      <c r="G143" s="1" t="s">
        <v>2050</v>
      </c>
      <c r="H143" s="1">
        <v>2</v>
      </c>
      <c r="I143" s="1" t="s">
        <v>1858</v>
      </c>
      <c r="J143" s="1">
        <v>0.14000000000000001</v>
      </c>
      <c r="K143" s="1" t="s">
        <v>182</v>
      </c>
      <c r="L143" s="1" t="s">
        <v>93</v>
      </c>
      <c r="M143" s="1" t="s">
        <v>94</v>
      </c>
      <c r="N143" s="1" t="s">
        <v>72</v>
      </c>
      <c r="O143" s="1" t="s">
        <v>64</v>
      </c>
      <c r="P143" s="1" t="s">
        <v>95</v>
      </c>
      <c r="R143" s="93">
        <v>43169</v>
      </c>
      <c r="S143" s="93" t="s">
        <v>2669</v>
      </c>
    </row>
    <row r="144" spans="1:19">
      <c r="A144" s="92">
        <v>43181</v>
      </c>
      <c r="C144" s="1" t="s">
        <v>56</v>
      </c>
      <c r="E144" s="98" t="s">
        <v>1859</v>
      </c>
      <c r="F144" s="1" t="s">
        <v>1860</v>
      </c>
      <c r="G144" s="1" t="s">
        <v>2051</v>
      </c>
      <c r="H144" s="1">
        <v>0.3</v>
      </c>
      <c r="I144" s="1" t="s">
        <v>1686</v>
      </c>
      <c r="J144" s="1">
        <v>2.1000000000000001E-2</v>
      </c>
      <c r="K144" s="1" t="s">
        <v>716</v>
      </c>
      <c r="L144" s="1" t="s">
        <v>105</v>
      </c>
      <c r="M144" s="1" t="s">
        <v>62</v>
      </c>
      <c r="N144" s="1" t="s">
        <v>63</v>
      </c>
      <c r="O144" s="1" t="s">
        <v>64</v>
      </c>
      <c r="P144" s="1" t="s">
        <v>65</v>
      </c>
      <c r="R144" s="93">
        <v>43181</v>
      </c>
      <c r="S144" s="93" t="s">
        <v>2662</v>
      </c>
    </row>
    <row r="145" spans="1:19">
      <c r="A145" s="92">
        <v>43165</v>
      </c>
      <c r="C145" s="1" t="s">
        <v>56</v>
      </c>
      <c r="E145" s="98" t="s">
        <v>1861</v>
      </c>
      <c r="F145" s="1" t="s">
        <v>1862</v>
      </c>
      <c r="G145" s="1" t="s">
        <v>2052</v>
      </c>
      <c r="H145" s="1">
        <v>1</v>
      </c>
      <c r="I145" s="1" t="s">
        <v>1863</v>
      </c>
      <c r="J145" s="1">
        <v>7.0000000000000007E-2</v>
      </c>
      <c r="K145" s="1" t="s">
        <v>477</v>
      </c>
      <c r="L145" s="1" t="s">
        <v>85</v>
      </c>
      <c r="M145" s="1" t="s">
        <v>71</v>
      </c>
      <c r="N145" s="1" t="s">
        <v>72</v>
      </c>
      <c r="O145" s="1" t="s">
        <v>64</v>
      </c>
      <c r="P145" s="1" t="s">
        <v>73</v>
      </c>
      <c r="R145" s="93">
        <v>43165</v>
      </c>
      <c r="S145" s="93" t="s">
        <v>2675</v>
      </c>
    </row>
    <row r="146" spans="1:19">
      <c r="A146" s="92">
        <v>43168</v>
      </c>
      <c r="C146" s="1" t="s">
        <v>56</v>
      </c>
      <c r="E146" s="98" t="s">
        <v>1864</v>
      </c>
      <c r="F146" s="1" t="s">
        <v>1865</v>
      </c>
      <c r="G146" s="1" t="s">
        <v>2053</v>
      </c>
      <c r="H146" s="1">
        <v>0.05</v>
      </c>
      <c r="I146" s="1" t="s">
        <v>1681</v>
      </c>
      <c r="J146" s="1">
        <v>3.5000000000000001E-3</v>
      </c>
      <c r="K146" s="1" t="s">
        <v>114</v>
      </c>
      <c r="L146" s="1" t="s">
        <v>85</v>
      </c>
      <c r="M146" s="1" t="s">
        <v>71</v>
      </c>
      <c r="N146" s="1" t="s">
        <v>72</v>
      </c>
      <c r="O146" s="1" t="s">
        <v>64</v>
      </c>
      <c r="P146" s="1" t="s">
        <v>73</v>
      </c>
      <c r="R146" s="93">
        <v>43168</v>
      </c>
      <c r="S146" s="93" t="s">
        <v>2669</v>
      </c>
    </row>
    <row r="147" spans="1:19">
      <c r="A147" s="92">
        <v>43167</v>
      </c>
      <c r="C147" s="1" t="s">
        <v>56</v>
      </c>
      <c r="E147" s="98" t="s">
        <v>1866</v>
      </c>
      <c r="F147" s="1" t="s">
        <v>1867</v>
      </c>
      <c r="G147" s="1" t="s">
        <v>2054</v>
      </c>
      <c r="H147" s="1">
        <v>0.3</v>
      </c>
      <c r="I147" s="1" t="s">
        <v>1868</v>
      </c>
      <c r="J147" s="1">
        <v>2.1000000000000001E-2</v>
      </c>
      <c r="K147" s="1" t="s">
        <v>149</v>
      </c>
      <c r="L147" s="1" t="s">
        <v>150</v>
      </c>
      <c r="M147" s="1" t="s">
        <v>132</v>
      </c>
      <c r="N147" s="1" t="s">
        <v>72</v>
      </c>
      <c r="O147" s="1" t="s">
        <v>64</v>
      </c>
      <c r="P147" s="1" t="s">
        <v>133</v>
      </c>
      <c r="R147" s="93">
        <v>43167</v>
      </c>
      <c r="S147" s="93" t="s">
        <v>2676</v>
      </c>
    </row>
    <row r="148" spans="1:19">
      <c r="A148" s="92">
        <v>43179</v>
      </c>
      <c r="C148" s="1" t="s">
        <v>56</v>
      </c>
      <c r="E148" s="98" t="s">
        <v>1869</v>
      </c>
      <c r="F148" s="1" t="s">
        <v>1870</v>
      </c>
      <c r="G148" s="1" t="s">
        <v>2055</v>
      </c>
      <c r="H148" s="1">
        <v>0.1</v>
      </c>
      <c r="I148" s="1" t="s">
        <v>1800</v>
      </c>
      <c r="J148" s="1">
        <v>7.0000000000000001E-3</v>
      </c>
      <c r="K148" s="1" t="s">
        <v>182</v>
      </c>
      <c r="L148" s="1" t="s">
        <v>93</v>
      </c>
      <c r="M148" s="1" t="s">
        <v>94</v>
      </c>
      <c r="N148" s="1" t="s">
        <v>72</v>
      </c>
      <c r="O148" s="1" t="s">
        <v>64</v>
      </c>
      <c r="P148" s="1" t="s">
        <v>95</v>
      </c>
      <c r="R148" s="93">
        <v>43179</v>
      </c>
      <c r="S148" s="93" t="s">
        <v>2678</v>
      </c>
    </row>
    <row r="149" spans="1:19">
      <c r="A149" s="92">
        <v>43181</v>
      </c>
      <c r="C149" s="1" t="s">
        <v>56</v>
      </c>
      <c r="E149" s="98" t="s">
        <v>1869</v>
      </c>
      <c r="F149" s="1" t="s">
        <v>1870</v>
      </c>
      <c r="G149" s="1" t="s">
        <v>2055</v>
      </c>
      <c r="H149" s="1">
        <v>0.2</v>
      </c>
      <c r="I149" s="1" t="s">
        <v>1686</v>
      </c>
      <c r="J149" s="1">
        <v>1.4E-2</v>
      </c>
      <c r="K149" s="1" t="s">
        <v>182</v>
      </c>
      <c r="L149" s="1" t="s">
        <v>93</v>
      </c>
      <c r="M149" s="1" t="s">
        <v>94</v>
      </c>
      <c r="N149" s="1" t="s">
        <v>72</v>
      </c>
      <c r="O149" s="1" t="s">
        <v>64</v>
      </c>
      <c r="P149" s="1" t="s">
        <v>95</v>
      </c>
      <c r="R149" s="93">
        <v>43181</v>
      </c>
      <c r="S149" s="93" t="s">
        <v>2662</v>
      </c>
    </row>
    <row r="150" spans="1:19">
      <c r="A150" s="92">
        <v>43179</v>
      </c>
      <c r="C150" s="1" t="s">
        <v>56</v>
      </c>
      <c r="E150" s="98" t="s">
        <v>1871</v>
      </c>
      <c r="F150" s="1" t="s">
        <v>1872</v>
      </c>
      <c r="G150" s="1" t="s">
        <v>2056</v>
      </c>
      <c r="H150" s="1">
        <v>1</v>
      </c>
      <c r="I150" s="1" t="s">
        <v>1800</v>
      </c>
      <c r="J150" s="1">
        <v>7.0000000000000007E-2</v>
      </c>
      <c r="K150" s="1" t="s">
        <v>309</v>
      </c>
      <c r="L150" s="1" t="s">
        <v>150</v>
      </c>
      <c r="M150" s="1" t="s">
        <v>132</v>
      </c>
      <c r="N150" s="1" t="s">
        <v>72</v>
      </c>
      <c r="O150" s="1" t="s">
        <v>64</v>
      </c>
      <c r="P150" s="1" t="s">
        <v>133</v>
      </c>
      <c r="R150" s="93">
        <v>43179</v>
      </c>
      <c r="S150" s="93" t="s">
        <v>2678</v>
      </c>
    </row>
    <row r="151" spans="1:19">
      <c r="A151" s="92">
        <v>43183</v>
      </c>
      <c r="C151" s="1" t="s">
        <v>56</v>
      </c>
      <c r="E151" s="98" t="s">
        <v>1873</v>
      </c>
      <c r="F151" s="1" t="s">
        <v>1874</v>
      </c>
      <c r="G151" s="1" t="s">
        <v>2057</v>
      </c>
      <c r="H151" s="1">
        <v>0.1</v>
      </c>
      <c r="I151" s="1" t="s">
        <v>1875</v>
      </c>
      <c r="J151" s="1">
        <v>7.0000000000000001E-3</v>
      </c>
      <c r="K151" s="1" t="s">
        <v>291</v>
      </c>
      <c r="L151" s="1" t="s">
        <v>85</v>
      </c>
      <c r="M151" s="1" t="s">
        <v>71</v>
      </c>
      <c r="N151" s="1" t="s">
        <v>72</v>
      </c>
      <c r="O151" s="1" t="s">
        <v>64</v>
      </c>
      <c r="P151" s="1" t="s">
        <v>73</v>
      </c>
      <c r="R151" s="93">
        <v>43183</v>
      </c>
      <c r="S151" s="93" t="s">
        <v>2674</v>
      </c>
    </row>
    <row r="152" spans="1:19">
      <c r="A152" s="92">
        <v>43172</v>
      </c>
      <c r="C152" s="1" t="s">
        <v>56</v>
      </c>
      <c r="E152" s="98" t="s">
        <v>1876</v>
      </c>
      <c r="F152" s="1" t="s">
        <v>1877</v>
      </c>
      <c r="G152" s="1" t="s">
        <v>2058</v>
      </c>
      <c r="H152" s="1">
        <v>0.5</v>
      </c>
      <c r="I152" s="1" t="s">
        <v>1878</v>
      </c>
      <c r="J152" s="1">
        <v>3.5000000000000003E-2</v>
      </c>
      <c r="K152" s="1" t="s">
        <v>175</v>
      </c>
      <c r="L152" s="1" t="s">
        <v>131</v>
      </c>
      <c r="M152" s="1" t="s">
        <v>132</v>
      </c>
      <c r="N152" s="1" t="s">
        <v>72</v>
      </c>
      <c r="O152" s="1" t="s">
        <v>64</v>
      </c>
      <c r="P152" s="1" t="s">
        <v>133</v>
      </c>
      <c r="R152" s="93">
        <v>43172</v>
      </c>
      <c r="S152" s="93" t="s">
        <v>2680</v>
      </c>
    </row>
    <row r="153" spans="1:19">
      <c r="A153" s="92">
        <v>43174</v>
      </c>
      <c r="C153" s="1" t="s">
        <v>56</v>
      </c>
      <c r="E153" s="98" t="s">
        <v>1879</v>
      </c>
      <c r="F153" s="1" t="s">
        <v>1880</v>
      </c>
      <c r="G153" s="1" t="s">
        <v>2059</v>
      </c>
      <c r="H153" s="1">
        <v>0.01</v>
      </c>
      <c r="I153" s="1" t="s">
        <v>1881</v>
      </c>
      <c r="J153" s="1">
        <v>6.9999999999999999E-4</v>
      </c>
      <c r="K153" s="1" t="s">
        <v>306</v>
      </c>
      <c r="L153" s="1" t="s">
        <v>70</v>
      </c>
      <c r="M153" s="1" t="s">
        <v>71</v>
      </c>
      <c r="N153" s="1" t="s">
        <v>72</v>
      </c>
      <c r="O153" s="1" t="s">
        <v>64</v>
      </c>
      <c r="P153" s="1" t="s">
        <v>73</v>
      </c>
      <c r="R153" s="93">
        <v>43174</v>
      </c>
      <c r="S153" s="93" t="s">
        <v>2688</v>
      </c>
    </row>
    <row r="154" spans="1:19">
      <c r="A154" s="92">
        <v>43179</v>
      </c>
      <c r="C154" s="1" t="s">
        <v>56</v>
      </c>
      <c r="E154" s="98" t="s">
        <v>1882</v>
      </c>
      <c r="F154" s="1" t="s">
        <v>1883</v>
      </c>
      <c r="G154" s="1" t="s">
        <v>2060</v>
      </c>
      <c r="H154" s="1">
        <v>0.05</v>
      </c>
      <c r="I154" s="1" t="s">
        <v>1884</v>
      </c>
      <c r="J154" s="1">
        <v>3.5000000000000001E-3</v>
      </c>
      <c r="K154" s="1" t="s">
        <v>175</v>
      </c>
      <c r="L154" s="1" t="s">
        <v>131</v>
      </c>
      <c r="M154" s="1" t="s">
        <v>132</v>
      </c>
      <c r="N154" s="1" t="s">
        <v>72</v>
      </c>
      <c r="O154" s="1" t="s">
        <v>64</v>
      </c>
      <c r="P154" s="1" t="s">
        <v>133</v>
      </c>
      <c r="R154" s="93">
        <v>43179</v>
      </c>
      <c r="S154" s="93" t="s">
        <v>2687</v>
      </c>
    </row>
    <row r="155" spans="1:19">
      <c r="A155" s="92">
        <v>43171</v>
      </c>
      <c r="C155" s="1" t="s">
        <v>56</v>
      </c>
      <c r="E155" s="98" t="s">
        <v>1882</v>
      </c>
      <c r="F155" s="1" t="s">
        <v>1883</v>
      </c>
      <c r="G155" s="1" t="s">
        <v>2060</v>
      </c>
      <c r="H155" s="1">
        <v>0.05</v>
      </c>
      <c r="I155" s="1" t="s">
        <v>1730</v>
      </c>
      <c r="J155" s="1">
        <v>3.5000000000000001E-3</v>
      </c>
      <c r="K155" s="1" t="s">
        <v>175</v>
      </c>
      <c r="L155" s="1" t="s">
        <v>131</v>
      </c>
      <c r="M155" s="1" t="s">
        <v>132</v>
      </c>
      <c r="N155" s="1" t="s">
        <v>72</v>
      </c>
      <c r="O155" s="1" t="s">
        <v>64</v>
      </c>
      <c r="P155" s="1" t="s">
        <v>133</v>
      </c>
      <c r="R155" s="93">
        <v>43171</v>
      </c>
      <c r="S155" s="93" t="s">
        <v>2680</v>
      </c>
    </row>
    <row r="156" spans="1:19">
      <c r="A156" s="92">
        <v>43167</v>
      </c>
      <c r="C156" s="1" t="s">
        <v>56</v>
      </c>
      <c r="E156" s="98" t="s">
        <v>1885</v>
      </c>
      <c r="F156" s="1" t="s">
        <v>1886</v>
      </c>
      <c r="G156" s="1" t="s">
        <v>2061</v>
      </c>
      <c r="H156" s="1">
        <v>1</v>
      </c>
      <c r="I156" s="1" t="s">
        <v>1887</v>
      </c>
      <c r="J156" s="1">
        <v>7.0000000000000007E-2</v>
      </c>
      <c r="K156" s="1" t="s">
        <v>277</v>
      </c>
      <c r="L156" s="1" t="s">
        <v>269</v>
      </c>
      <c r="M156" s="1" t="s">
        <v>132</v>
      </c>
      <c r="N156" s="1" t="s">
        <v>72</v>
      </c>
      <c r="O156" s="1" t="s">
        <v>64</v>
      </c>
      <c r="P156" s="1" t="s">
        <v>133</v>
      </c>
      <c r="R156" s="93">
        <v>43167</v>
      </c>
      <c r="S156" s="93" t="s">
        <v>2676</v>
      </c>
    </row>
    <row r="157" spans="1:19">
      <c r="A157" s="92">
        <v>43173</v>
      </c>
      <c r="C157" s="1" t="s">
        <v>56</v>
      </c>
      <c r="E157" s="98" t="s">
        <v>1888</v>
      </c>
      <c r="F157" s="1" t="s">
        <v>1889</v>
      </c>
      <c r="G157" s="1" t="s">
        <v>2062</v>
      </c>
      <c r="H157" s="1">
        <v>0.01</v>
      </c>
      <c r="I157" s="1" t="s">
        <v>1890</v>
      </c>
      <c r="J157" s="1">
        <v>6.9999999999999999E-4</v>
      </c>
      <c r="K157" s="1" t="s">
        <v>164</v>
      </c>
      <c r="L157" s="1" t="s">
        <v>93</v>
      </c>
      <c r="M157" s="1" t="s">
        <v>94</v>
      </c>
      <c r="N157" s="1" t="s">
        <v>72</v>
      </c>
      <c r="O157" s="1" t="s">
        <v>64</v>
      </c>
      <c r="P157" s="1" t="s">
        <v>95</v>
      </c>
      <c r="R157" s="93">
        <v>43173</v>
      </c>
      <c r="S157" s="93" t="s">
        <v>2688</v>
      </c>
    </row>
    <row r="158" spans="1:19">
      <c r="A158" s="92">
        <v>43164</v>
      </c>
      <c r="C158" s="1" t="s">
        <v>56</v>
      </c>
      <c r="E158" s="98" t="s">
        <v>483</v>
      </c>
      <c r="F158" s="1" t="s">
        <v>484</v>
      </c>
      <c r="G158" s="1" t="s">
        <v>2063</v>
      </c>
      <c r="H158" s="1">
        <v>1.2</v>
      </c>
      <c r="I158" s="1" t="s">
        <v>1766</v>
      </c>
      <c r="J158" s="1">
        <v>8.4000000000000005E-2</v>
      </c>
      <c r="K158" s="1" t="s">
        <v>70</v>
      </c>
      <c r="L158" s="1" t="s">
        <v>70</v>
      </c>
      <c r="M158" s="1" t="s">
        <v>71</v>
      </c>
      <c r="N158" s="1" t="s">
        <v>72</v>
      </c>
      <c r="O158" s="1" t="s">
        <v>64</v>
      </c>
      <c r="P158" s="1" t="s">
        <v>73</v>
      </c>
      <c r="R158" s="93">
        <v>43164</v>
      </c>
      <c r="S158" s="93" t="s">
        <v>2684</v>
      </c>
    </row>
    <row r="159" spans="1:19">
      <c r="A159" s="92">
        <v>43164</v>
      </c>
      <c r="C159" s="1" t="s">
        <v>56</v>
      </c>
      <c r="E159" s="98" t="s">
        <v>483</v>
      </c>
      <c r="F159" s="1" t="s">
        <v>484</v>
      </c>
      <c r="G159" s="1" t="s">
        <v>2063</v>
      </c>
      <c r="H159" s="1">
        <v>0.3</v>
      </c>
      <c r="I159" s="1" t="s">
        <v>1766</v>
      </c>
      <c r="J159" s="1">
        <v>2.1000000000000001E-2</v>
      </c>
      <c r="K159" s="1" t="s">
        <v>70</v>
      </c>
      <c r="L159" s="1" t="s">
        <v>70</v>
      </c>
      <c r="M159" s="1" t="s">
        <v>71</v>
      </c>
      <c r="N159" s="1" t="s">
        <v>72</v>
      </c>
      <c r="O159" s="1" t="s">
        <v>64</v>
      </c>
      <c r="P159" s="1" t="s">
        <v>73</v>
      </c>
      <c r="R159" s="93">
        <v>43164</v>
      </c>
      <c r="S159" s="93" t="s">
        <v>2684</v>
      </c>
    </row>
    <row r="160" spans="1:19">
      <c r="A160" s="92">
        <v>43164</v>
      </c>
      <c r="C160" s="1" t="s">
        <v>56</v>
      </c>
      <c r="E160" s="98" t="s">
        <v>483</v>
      </c>
      <c r="F160" s="1" t="s">
        <v>484</v>
      </c>
      <c r="G160" s="1" t="s">
        <v>2063</v>
      </c>
      <c r="H160" s="1">
        <v>0.3</v>
      </c>
      <c r="I160" s="1" t="s">
        <v>1766</v>
      </c>
      <c r="J160" s="1">
        <v>2.1000000000000001E-2</v>
      </c>
      <c r="K160" s="1" t="s">
        <v>70</v>
      </c>
      <c r="L160" s="1" t="s">
        <v>70</v>
      </c>
      <c r="M160" s="1" t="s">
        <v>71</v>
      </c>
      <c r="N160" s="1" t="s">
        <v>72</v>
      </c>
      <c r="O160" s="1" t="s">
        <v>64</v>
      </c>
      <c r="P160" s="1" t="s">
        <v>73</v>
      </c>
      <c r="R160" s="93">
        <v>43164</v>
      </c>
      <c r="S160" s="93" t="s">
        <v>2684</v>
      </c>
    </row>
    <row r="161" spans="1:19">
      <c r="A161" s="92">
        <v>43167</v>
      </c>
      <c r="C161" s="1" t="s">
        <v>56</v>
      </c>
      <c r="E161" s="98" t="s">
        <v>483</v>
      </c>
      <c r="F161" s="1" t="s">
        <v>484</v>
      </c>
      <c r="G161" s="1" t="s">
        <v>2063</v>
      </c>
      <c r="H161" s="1">
        <v>1.2</v>
      </c>
      <c r="I161" s="1" t="s">
        <v>1868</v>
      </c>
      <c r="J161" s="1">
        <v>8.4000000000000005E-2</v>
      </c>
      <c r="K161" s="1" t="s">
        <v>70</v>
      </c>
      <c r="L161" s="1" t="s">
        <v>70</v>
      </c>
      <c r="M161" s="1" t="s">
        <v>71</v>
      </c>
      <c r="N161" s="1" t="s">
        <v>72</v>
      </c>
      <c r="O161" s="1" t="s">
        <v>64</v>
      </c>
      <c r="P161" s="1" t="s">
        <v>73</v>
      </c>
      <c r="R161" s="93">
        <v>43167</v>
      </c>
      <c r="S161" s="93" t="s">
        <v>2676</v>
      </c>
    </row>
    <row r="162" spans="1:19">
      <c r="A162" s="92">
        <v>43182</v>
      </c>
      <c r="C162" s="1" t="s">
        <v>56</v>
      </c>
      <c r="E162" s="98" t="s">
        <v>1891</v>
      </c>
      <c r="F162" s="1" t="s">
        <v>1892</v>
      </c>
      <c r="G162" s="1" t="s">
        <v>2064</v>
      </c>
      <c r="H162" s="1">
        <v>0.1</v>
      </c>
      <c r="I162" s="1" t="s">
        <v>1711</v>
      </c>
      <c r="J162" s="1">
        <v>7.0000000000000001E-3</v>
      </c>
      <c r="K162" s="1" t="s">
        <v>144</v>
      </c>
      <c r="L162" s="1" t="s">
        <v>93</v>
      </c>
      <c r="M162" s="1" t="s">
        <v>94</v>
      </c>
      <c r="N162" s="1" t="s">
        <v>72</v>
      </c>
      <c r="O162" s="1" t="s">
        <v>64</v>
      </c>
      <c r="P162" s="1" t="s">
        <v>95</v>
      </c>
      <c r="R162" s="93">
        <v>43182</v>
      </c>
      <c r="S162" s="93" t="s">
        <v>2663</v>
      </c>
    </row>
    <row r="163" spans="1:19">
      <c r="A163" s="92">
        <v>43173</v>
      </c>
      <c r="C163" s="1" t="s">
        <v>56</v>
      </c>
      <c r="E163" s="98" t="s">
        <v>1893</v>
      </c>
      <c r="F163" s="1" t="s">
        <v>1894</v>
      </c>
      <c r="G163" s="1" t="s">
        <v>2065</v>
      </c>
      <c r="H163" s="1">
        <v>1</v>
      </c>
      <c r="I163" s="1" t="s">
        <v>1895</v>
      </c>
      <c r="J163" s="1">
        <v>7.0000000000000007E-2</v>
      </c>
      <c r="K163" s="1" t="s">
        <v>252</v>
      </c>
      <c r="L163" s="1" t="s">
        <v>253</v>
      </c>
      <c r="M163" s="1" t="s">
        <v>94</v>
      </c>
      <c r="N163" s="1" t="s">
        <v>72</v>
      </c>
      <c r="O163" s="1" t="s">
        <v>64</v>
      </c>
      <c r="P163" s="1" t="s">
        <v>95</v>
      </c>
      <c r="R163" s="93">
        <v>43173</v>
      </c>
      <c r="S163" s="93" t="s">
        <v>2683</v>
      </c>
    </row>
    <row r="164" spans="1:19">
      <c r="A164" s="92">
        <v>43176</v>
      </c>
      <c r="C164" s="1" t="s">
        <v>56</v>
      </c>
      <c r="E164" s="98" t="s">
        <v>1893</v>
      </c>
      <c r="F164" s="1" t="s">
        <v>1894</v>
      </c>
      <c r="G164" s="1" t="s">
        <v>2065</v>
      </c>
      <c r="H164" s="1">
        <v>1</v>
      </c>
      <c r="I164" s="1" t="s">
        <v>1792</v>
      </c>
      <c r="J164" s="1">
        <v>7.0000000000000007E-2</v>
      </c>
      <c r="K164" s="1" t="s">
        <v>252</v>
      </c>
      <c r="L164" s="1" t="s">
        <v>253</v>
      </c>
      <c r="M164" s="1" t="s">
        <v>94</v>
      </c>
      <c r="N164" s="1" t="s">
        <v>72</v>
      </c>
      <c r="O164" s="1" t="s">
        <v>64</v>
      </c>
      <c r="P164" s="1" t="s">
        <v>95</v>
      </c>
      <c r="R164" s="93">
        <v>43176</v>
      </c>
      <c r="S164" s="93" t="s">
        <v>2667</v>
      </c>
    </row>
    <row r="165" spans="1:19">
      <c r="A165" s="92">
        <v>43188</v>
      </c>
      <c r="C165" s="1" t="s">
        <v>56</v>
      </c>
      <c r="E165" s="98" t="s">
        <v>1896</v>
      </c>
      <c r="F165" s="1" t="s">
        <v>1897</v>
      </c>
      <c r="G165" s="1" t="s">
        <v>2066</v>
      </c>
      <c r="H165" s="1">
        <v>1</v>
      </c>
      <c r="I165" s="1" t="s">
        <v>1714</v>
      </c>
      <c r="J165" s="1">
        <v>7.0000000000000007E-2</v>
      </c>
      <c r="K165" s="1" t="s">
        <v>252</v>
      </c>
      <c r="L165" s="1" t="s">
        <v>253</v>
      </c>
      <c r="M165" s="1" t="s">
        <v>94</v>
      </c>
      <c r="N165" s="1" t="s">
        <v>72</v>
      </c>
      <c r="O165" s="1" t="s">
        <v>64</v>
      </c>
      <c r="P165" s="1" t="s">
        <v>95</v>
      </c>
      <c r="R165" s="93">
        <v>43188</v>
      </c>
      <c r="S165" s="93" t="s">
        <v>2677</v>
      </c>
    </row>
    <row r="166" spans="1:19">
      <c r="A166" s="92">
        <v>43173</v>
      </c>
      <c r="C166" s="1" t="s">
        <v>56</v>
      </c>
      <c r="E166" s="98" t="s">
        <v>1898</v>
      </c>
      <c r="F166" s="1" t="s">
        <v>1899</v>
      </c>
      <c r="G166" s="1" t="s">
        <v>2067</v>
      </c>
      <c r="H166" s="1">
        <v>1</v>
      </c>
      <c r="I166" s="1" t="s">
        <v>1895</v>
      </c>
      <c r="J166" s="1">
        <v>7.0000000000000007E-2</v>
      </c>
      <c r="K166" s="1" t="s">
        <v>252</v>
      </c>
      <c r="L166" s="1" t="s">
        <v>253</v>
      </c>
      <c r="M166" s="1" t="s">
        <v>94</v>
      </c>
      <c r="N166" s="1" t="s">
        <v>72</v>
      </c>
      <c r="O166" s="1" t="s">
        <v>64</v>
      </c>
      <c r="P166" s="1" t="s">
        <v>95</v>
      </c>
      <c r="R166" s="93">
        <v>43173</v>
      </c>
      <c r="S166" s="93" t="s">
        <v>2683</v>
      </c>
    </row>
    <row r="167" spans="1:19">
      <c r="A167" s="92">
        <v>43173</v>
      </c>
      <c r="C167" s="1" t="s">
        <v>56</v>
      </c>
      <c r="E167" s="98" t="s">
        <v>1898</v>
      </c>
      <c r="F167" s="1" t="s">
        <v>1899</v>
      </c>
      <c r="G167" s="1" t="s">
        <v>2067</v>
      </c>
      <c r="H167" s="1">
        <v>5</v>
      </c>
      <c r="I167" s="1" t="s">
        <v>1900</v>
      </c>
      <c r="J167" s="1">
        <v>2.1</v>
      </c>
      <c r="K167" s="1" t="s">
        <v>252</v>
      </c>
      <c r="L167" s="1" t="s">
        <v>253</v>
      </c>
      <c r="M167" s="1" t="s">
        <v>94</v>
      </c>
      <c r="N167" s="1" t="s">
        <v>72</v>
      </c>
      <c r="O167" s="1" t="s">
        <v>64</v>
      </c>
      <c r="P167" s="1" t="s">
        <v>95</v>
      </c>
      <c r="R167" s="93">
        <v>43173</v>
      </c>
      <c r="S167" s="93" t="s">
        <v>2697</v>
      </c>
    </row>
    <row r="168" spans="1:19">
      <c r="A168" s="92">
        <v>43185</v>
      </c>
      <c r="C168" s="1" t="s">
        <v>56</v>
      </c>
      <c r="E168" s="98" t="s">
        <v>1901</v>
      </c>
      <c r="F168" s="1" t="s">
        <v>1902</v>
      </c>
      <c r="G168" s="1" t="s">
        <v>2068</v>
      </c>
      <c r="H168" s="1">
        <v>0.1</v>
      </c>
      <c r="I168" s="1" t="s">
        <v>1903</v>
      </c>
      <c r="J168" s="1">
        <v>7.0000000000000001E-3</v>
      </c>
      <c r="K168" s="1" t="s">
        <v>280</v>
      </c>
      <c r="L168" s="1" t="s">
        <v>281</v>
      </c>
      <c r="M168" s="1" t="s">
        <v>71</v>
      </c>
      <c r="N168" s="1" t="s">
        <v>72</v>
      </c>
      <c r="O168" s="1" t="s">
        <v>64</v>
      </c>
      <c r="P168" s="1" t="s">
        <v>73</v>
      </c>
      <c r="R168" s="93">
        <v>43185</v>
      </c>
      <c r="S168" s="93" t="s">
        <v>2673</v>
      </c>
    </row>
    <row r="169" spans="1:19">
      <c r="A169" s="92">
        <v>43170</v>
      </c>
      <c r="C169" s="1" t="s">
        <v>56</v>
      </c>
      <c r="E169" s="98" t="s">
        <v>1904</v>
      </c>
      <c r="F169" s="1" t="s">
        <v>1905</v>
      </c>
      <c r="G169" s="1" t="s">
        <v>2069</v>
      </c>
      <c r="H169" s="1">
        <v>0.01</v>
      </c>
      <c r="I169" s="1" t="s">
        <v>1906</v>
      </c>
      <c r="J169" s="1">
        <v>6.9999999999999999E-4</v>
      </c>
      <c r="K169" s="1" t="s">
        <v>416</v>
      </c>
      <c r="L169" s="1" t="s">
        <v>193</v>
      </c>
      <c r="M169" s="1" t="s">
        <v>62</v>
      </c>
      <c r="N169" s="1" t="s">
        <v>63</v>
      </c>
      <c r="O169" s="1" t="s">
        <v>64</v>
      </c>
      <c r="P169" s="1" t="s">
        <v>65</v>
      </c>
      <c r="R169" s="93">
        <v>43170</v>
      </c>
      <c r="S169" s="93" t="s">
        <v>2666</v>
      </c>
    </row>
    <row r="170" spans="1:19">
      <c r="A170" s="92">
        <v>43181</v>
      </c>
      <c r="C170" s="1" t="s">
        <v>56</v>
      </c>
      <c r="E170" s="98" t="s">
        <v>1904</v>
      </c>
      <c r="F170" s="1" t="s">
        <v>1905</v>
      </c>
      <c r="G170" s="1" t="s">
        <v>2069</v>
      </c>
      <c r="H170" s="1">
        <v>0.03</v>
      </c>
      <c r="I170" s="1" t="s">
        <v>1655</v>
      </c>
      <c r="J170" s="1">
        <v>2.0999999999999999E-3</v>
      </c>
      <c r="K170" s="1" t="s">
        <v>416</v>
      </c>
      <c r="L170" s="1" t="s">
        <v>193</v>
      </c>
      <c r="M170" s="1" t="s">
        <v>62</v>
      </c>
      <c r="N170" s="1" t="s">
        <v>63</v>
      </c>
      <c r="O170" s="1" t="s">
        <v>64</v>
      </c>
      <c r="P170" s="1" t="s">
        <v>65</v>
      </c>
      <c r="R170" s="93">
        <v>43181</v>
      </c>
      <c r="S170" s="93" t="s">
        <v>2663</v>
      </c>
    </row>
    <row r="171" spans="1:19">
      <c r="A171" s="92">
        <v>43165</v>
      </c>
      <c r="C171" s="1" t="s">
        <v>56</v>
      </c>
      <c r="E171" s="98" t="s">
        <v>1907</v>
      </c>
      <c r="F171" s="1" t="s">
        <v>1908</v>
      </c>
      <c r="G171" s="1" t="s">
        <v>2070</v>
      </c>
      <c r="H171" s="1">
        <v>2</v>
      </c>
      <c r="I171" s="1" t="s">
        <v>1863</v>
      </c>
      <c r="J171" s="1">
        <v>0.14000000000000001</v>
      </c>
      <c r="K171" s="1" t="s">
        <v>192</v>
      </c>
      <c r="L171" s="1" t="s">
        <v>193</v>
      </c>
      <c r="M171" s="1" t="s">
        <v>62</v>
      </c>
      <c r="N171" s="1" t="s">
        <v>63</v>
      </c>
      <c r="O171" s="1" t="s">
        <v>64</v>
      </c>
      <c r="P171" s="1" t="s">
        <v>65</v>
      </c>
      <c r="R171" s="93">
        <v>43165</v>
      </c>
      <c r="S171" s="93" t="s">
        <v>2675</v>
      </c>
    </row>
    <row r="172" spans="1:19">
      <c r="A172" s="92">
        <v>43166</v>
      </c>
      <c r="C172" s="1" t="s">
        <v>56</v>
      </c>
      <c r="E172" s="98" t="s">
        <v>1907</v>
      </c>
      <c r="F172" s="1" t="s">
        <v>1908</v>
      </c>
      <c r="G172" s="1" t="s">
        <v>2070</v>
      </c>
      <c r="H172" s="1">
        <v>5</v>
      </c>
      <c r="I172" s="1" t="s">
        <v>1909</v>
      </c>
      <c r="J172" s="1">
        <v>0.35</v>
      </c>
      <c r="K172" s="1" t="s">
        <v>192</v>
      </c>
      <c r="L172" s="1" t="s">
        <v>193</v>
      </c>
      <c r="M172" s="1" t="s">
        <v>62</v>
      </c>
      <c r="N172" s="1" t="s">
        <v>63</v>
      </c>
      <c r="O172" s="1" t="s">
        <v>64</v>
      </c>
      <c r="P172" s="1" t="s">
        <v>65</v>
      </c>
      <c r="R172" s="93">
        <v>43166</v>
      </c>
      <c r="S172" s="93" t="s">
        <v>2690</v>
      </c>
    </row>
    <row r="173" spans="1:19">
      <c r="A173" s="92">
        <v>43166</v>
      </c>
      <c r="C173" s="1" t="s">
        <v>56</v>
      </c>
      <c r="E173" s="98" t="s">
        <v>1907</v>
      </c>
      <c r="F173" s="1" t="s">
        <v>1908</v>
      </c>
      <c r="G173" s="1" t="s">
        <v>2070</v>
      </c>
      <c r="H173" s="1">
        <v>5</v>
      </c>
      <c r="I173" s="1" t="s">
        <v>1909</v>
      </c>
      <c r="J173" s="1">
        <v>0.35</v>
      </c>
      <c r="K173" s="1" t="s">
        <v>192</v>
      </c>
      <c r="L173" s="1" t="s">
        <v>193</v>
      </c>
      <c r="M173" s="1" t="s">
        <v>62</v>
      </c>
      <c r="N173" s="1" t="s">
        <v>63</v>
      </c>
      <c r="O173" s="1" t="s">
        <v>64</v>
      </c>
      <c r="P173" s="1" t="s">
        <v>65</v>
      </c>
      <c r="R173" s="93">
        <v>43166</v>
      </c>
      <c r="S173" s="93" t="s">
        <v>2690</v>
      </c>
    </row>
    <row r="174" spans="1:19">
      <c r="A174" s="92">
        <v>43189</v>
      </c>
      <c r="C174" s="1" t="s">
        <v>56</v>
      </c>
      <c r="E174" s="98" t="s">
        <v>1910</v>
      </c>
      <c r="F174" s="1" t="s">
        <v>1911</v>
      </c>
      <c r="G174" s="1" t="s">
        <v>2071</v>
      </c>
      <c r="H174" s="1">
        <v>1</v>
      </c>
      <c r="I174" s="1" t="s">
        <v>1912</v>
      </c>
      <c r="J174" s="1">
        <v>7.0000000000000007E-2</v>
      </c>
      <c r="K174" s="1" t="s">
        <v>277</v>
      </c>
      <c r="L174" s="1" t="s">
        <v>269</v>
      </c>
      <c r="M174" s="1" t="s">
        <v>132</v>
      </c>
      <c r="N174" s="1" t="s">
        <v>72</v>
      </c>
      <c r="O174" s="1" t="s">
        <v>64</v>
      </c>
      <c r="P174" s="1" t="s">
        <v>133</v>
      </c>
      <c r="R174" s="93">
        <v>43189</v>
      </c>
      <c r="S174" s="93" t="s">
        <v>2695</v>
      </c>
    </row>
    <row r="175" spans="1:19">
      <c r="A175" s="92">
        <v>43171</v>
      </c>
      <c r="C175" s="1" t="s">
        <v>56</v>
      </c>
      <c r="E175" s="98" t="s">
        <v>1913</v>
      </c>
      <c r="F175" s="1" t="s">
        <v>1914</v>
      </c>
      <c r="G175" s="1" t="s">
        <v>2072</v>
      </c>
      <c r="H175" s="1">
        <v>1</v>
      </c>
      <c r="I175" s="1" t="s">
        <v>1730</v>
      </c>
      <c r="J175" s="1">
        <v>7.0000000000000007E-2</v>
      </c>
      <c r="K175" s="1" t="s">
        <v>144</v>
      </c>
      <c r="L175" s="1" t="s">
        <v>93</v>
      </c>
      <c r="M175" s="1" t="s">
        <v>94</v>
      </c>
      <c r="N175" s="1" t="s">
        <v>72</v>
      </c>
      <c r="O175" s="1" t="s">
        <v>64</v>
      </c>
      <c r="P175" s="1" t="s">
        <v>95</v>
      </c>
      <c r="R175" s="93">
        <v>43171</v>
      </c>
      <c r="S175" s="93" t="s">
        <v>2680</v>
      </c>
    </row>
    <row r="176" spans="1:19">
      <c r="A176" s="92">
        <v>43171</v>
      </c>
      <c r="C176" s="1" t="s">
        <v>56</v>
      </c>
      <c r="E176" s="98" t="s">
        <v>1913</v>
      </c>
      <c r="F176" s="1" t="s">
        <v>1914</v>
      </c>
      <c r="G176" s="1" t="s">
        <v>2072</v>
      </c>
      <c r="H176" s="1">
        <v>1</v>
      </c>
      <c r="I176" s="1" t="s">
        <v>1915</v>
      </c>
      <c r="J176" s="1">
        <v>7.0000000000000007E-2</v>
      </c>
      <c r="K176" s="1" t="s">
        <v>144</v>
      </c>
      <c r="L176" s="1" t="s">
        <v>93</v>
      </c>
      <c r="M176" s="1" t="s">
        <v>94</v>
      </c>
      <c r="N176" s="1" t="s">
        <v>72</v>
      </c>
      <c r="O176" s="1" t="s">
        <v>64</v>
      </c>
      <c r="P176" s="1" t="s">
        <v>95</v>
      </c>
      <c r="R176" s="93">
        <v>43171</v>
      </c>
      <c r="S176" s="93" t="s">
        <v>2680</v>
      </c>
    </row>
    <row r="177" spans="1:19">
      <c r="A177" s="92">
        <v>43167</v>
      </c>
      <c r="C177" s="1" t="s">
        <v>56</v>
      </c>
      <c r="E177" s="98" t="s">
        <v>1916</v>
      </c>
      <c r="F177" s="1" t="s">
        <v>1917</v>
      </c>
      <c r="G177" s="1" t="s">
        <v>2073</v>
      </c>
      <c r="H177" s="1">
        <v>0.01</v>
      </c>
      <c r="I177" s="1" t="s">
        <v>1918</v>
      </c>
      <c r="J177" s="1">
        <v>6.9999999999999999E-4</v>
      </c>
      <c r="K177" s="1" t="s">
        <v>277</v>
      </c>
      <c r="L177" s="1" t="s">
        <v>269</v>
      </c>
      <c r="M177" s="1" t="s">
        <v>132</v>
      </c>
      <c r="N177" s="1" t="s">
        <v>72</v>
      </c>
      <c r="O177" s="1" t="s">
        <v>64</v>
      </c>
      <c r="P177" s="1" t="s">
        <v>133</v>
      </c>
      <c r="R177" s="93">
        <v>43167</v>
      </c>
      <c r="S177" s="93" t="s">
        <v>2676</v>
      </c>
    </row>
    <row r="178" spans="1:19">
      <c r="A178" s="92">
        <v>43186</v>
      </c>
      <c r="C178" s="1" t="s">
        <v>56</v>
      </c>
      <c r="E178" s="98" t="s">
        <v>1919</v>
      </c>
      <c r="F178" s="1" t="s">
        <v>1920</v>
      </c>
      <c r="G178" s="1" t="s">
        <v>2074</v>
      </c>
      <c r="H178" s="1">
        <v>0.01</v>
      </c>
      <c r="I178" s="1" t="s">
        <v>1921</v>
      </c>
      <c r="J178" s="1">
        <v>6.9999999999999999E-4</v>
      </c>
      <c r="K178" s="1" t="s">
        <v>252</v>
      </c>
      <c r="L178" s="1" t="s">
        <v>253</v>
      </c>
      <c r="M178" s="1" t="s">
        <v>94</v>
      </c>
      <c r="N178" s="1" t="s">
        <v>72</v>
      </c>
      <c r="O178" s="1" t="s">
        <v>64</v>
      </c>
      <c r="P178" s="1" t="s">
        <v>95</v>
      </c>
      <c r="R178" s="93">
        <v>43186</v>
      </c>
      <c r="S178" s="93" t="s">
        <v>2681</v>
      </c>
    </row>
    <row r="179" spans="1:19">
      <c r="A179" s="92">
        <v>43161</v>
      </c>
      <c r="C179" s="1" t="s">
        <v>56</v>
      </c>
      <c r="E179" s="98" t="s">
        <v>1922</v>
      </c>
      <c r="F179" s="1" t="s">
        <v>1923</v>
      </c>
      <c r="G179" s="1" t="s">
        <v>2075</v>
      </c>
      <c r="H179" s="1">
        <v>0.5</v>
      </c>
      <c r="I179" s="1" t="s">
        <v>1684</v>
      </c>
      <c r="J179" s="1">
        <v>3.5000000000000003E-2</v>
      </c>
      <c r="K179" s="1" t="s">
        <v>105</v>
      </c>
      <c r="L179" s="1" t="s">
        <v>105</v>
      </c>
      <c r="M179" s="1" t="s">
        <v>62</v>
      </c>
      <c r="N179" s="1" t="s">
        <v>63</v>
      </c>
      <c r="O179" s="1" t="s">
        <v>64</v>
      </c>
      <c r="P179" s="1" t="s">
        <v>65</v>
      </c>
      <c r="R179" s="93">
        <v>43161</v>
      </c>
      <c r="S179" s="93" t="s">
        <v>2670</v>
      </c>
    </row>
    <row r="180" spans="1:19">
      <c r="A180" s="92">
        <v>43161</v>
      </c>
      <c r="C180" s="1" t="s">
        <v>56</v>
      </c>
      <c r="E180" s="98" t="s">
        <v>1922</v>
      </c>
      <c r="F180" s="1" t="s">
        <v>1923</v>
      </c>
      <c r="G180" s="1" t="s">
        <v>2075</v>
      </c>
      <c r="H180" s="1">
        <v>2.8</v>
      </c>
      <c r="I180" s="1" t="s">
        <v>1684</v>
      </c>
      <c r="J180" s="1">
        <v>0.19599999999999998</v>
      </c>
      <c r="K180" s="1" t="s">
        <v>105</v>
      </c>
      <c r="L180" s="1" t="s">
        <v>105</v>
      </c>
      <c r="M180" s="1" t="s">
        <v>62</v>
      </c>
      <c r="N180" s="1" t="s">
        <v>63</v>
      </c>
      <c r="O180" s="1" t="s">
        <v>64</v>
      </c>
      <c r="P180" s="1" t="s">
        <v>65</v>
      </c>
      <c r="R180" s="93">
        <v>43161</v>
      </c>
      <c r="S180" s="93" t="s">
        <v>2670</v>
      </c>
    </row>
    <row r="181" spans="1:19">
      <c r="A181" s="92">
        <v>43162</v>
      </c>
      <c r="C181" s="1" t="s">
        <v>56</v>
      </c>
      <c r="E181" s="98" t="s">
        <v>1924</v>
      </c>
      <c r="F181" s="1" t="s">
        <v>1925</v>
      </c>
      <c r="G181" s="1" t="s">
        <v>2076</v>
      </c>
      <c r="H181" s="1">
        <v>5</v>
      </c>
      <c r="I181" s="1" t="s">
        <v>1926</v>
      </c>
      <c r="J181" s="1">
        <v>0.35</v>
      </c>
      <c r="K181" s="1" t="s">
        <v>242</v>
      </c>
      <c r="L181" s="1" t="s">
        <v>93</v>
      </c>
      <c r="M181" s="1" t="s">
        <v>94</v>
      </c>
      <c r="N181" s="1" t="s">
        <v>72</v>
      </c>
      <c r="O181" s="1" t="s">
        <v>64</v>
      </c>
      <c r="P181" s="1" t="s">
        <v>95</v>
      </c>
      <c r="R181" s="93">
        <v>43162</v>
      </c>
      <c r="S181" s="93" t="s">
        <v>2679</v>
      </c>
    </row>
    <row r="182" spans="1:19">
      <c r="A182" s="92">
        <v>43162</v>
      </c>
      <c r="C182" s="1" t="s">
        <v>56</v>
      </c>
      <c r="E182" s="98" t="s">
        <v>1927</v>
      </c>
      <c r="F182" s="1" t="s">
        <v>1928</v>
      </c>
      <c r="G182" s="1" t="s">
        <v>2077</v>
      </c>
      <c r="H182" s="1">
        <v>0.01</v>
      </c>
      <c r="I182" s="1" t="s">
        <v>1926</v>
      </c>
      <c r="J182" s="1">
        <v>6.9999999999999999E-4</v>
      </c>
      <c r="K182" s="1" t="s">
        <v>252</v>
      </c>
      <c r="L182" s="1" t="s">
        <v>253</v>
      </c>
      <c r="M182" s="1" t="s">
        <v>94</v>
      </c>
      <c r="N182" s="1" t="s">
        <v>72</v>
      </c>
      <c r="O182" s="1" t="s">
        <v>64</v>
      </c>
      <c r="P182" s="1" t="s">
        <v>95</v>
      </c>
      <c r="R182" s="93">
        <v>43162</v>
      </c>
      <c r="S182" s="93" t="s">
        <v>2679</v>
      </c>
    </row>
    <row r="183" spans="1:19">
      <c r="A183" s="92">
        <v>43167</v>
      </c>
      <c r="C183" s="1" t="s">
        <v>56</v>
      </c>
      <c r="E183" s="98" t="s">
        <v>1929</v>
      </c>
      <c r="F183" s="1" t="s">
        <v>1930</v>
      </c>
      <c r="G183" s="1" t="s">
        <v>2078</v>
      </c>
      <c r="H183" s="1">
        <v>0.5</v>
      </c>
      <c r="I183" s="1" t="s">
        <v>1887</v>
      </c>
      <c r="J183" s="1">
        <v>3.5000000000000003E-2</v>
      </c>
      <c r="K183" s="1" t="s">
        <v>242</v>
      </c>
      <c r="L183" s="1" t="s">
        <v>93</v>
      </c>
      <c r="M183" s="1" t="s">
        <v>94</v>
      </c>
      <c r="N183" s="1" t="s">
        <v>72</v>
      </c>
      <c r="O183" s="1" t="s">
        <v>64</v>
      </c>
      <c r="P183" s="1" t="s">
        <v>95</v>
      </c>
      <c r="R183" s="93">
        <v>43167</v>
      </c>
      <c r="S183" s="93" t="s">
        <v>2676</v>
      </c>
    </row>
    <row r="184" spans="1:19">
      <c r="A184" s="92">
        <v>43171</v>
      </c>
      <c r="C184" s="1" t="s">
        <v>56</v>
      </c>
      <c r="E184" s="98" t="s">
        <v>541</v>
      </c>
      <c r="F184" s="1" t="s">
        <v>542</v>
      </c>
      <c r="G184" s="1" t="s">
        <v>2079</v>
      </c>
      <c r="H184" s="1">
        <v>0.01</v>
      </c>
      <c r="I184" s="1" t="s">
        <v>1685</v>
      </c>
      <c r="J184" s="1">
        <v>6.9999999999999999E-4</v>
      </c>
      <c r="K184" s="1" t="s">
        <v>172</v>
      </c>
      <c r="L184" s="1" t="s">
        <v>131</v>
      </c>
      <c r="M184" s="1" t="s">
        <v>132</v>
      </c>
      <c r="N184" s="1" t="s">
        <v>72</v>
      </c>
      <c r="O184" s="1" t="s">
        <v>64</v>
      </c>
      <c r="P184" s="1" t="s">
        <v>133</v>
      </c>
      <c r="R184" s="93">
        <v>43171</v>
      </c>
      <c r="S184" s="93" t="s">
        <v>2683</v>
      </c>
    </row>
    <row r="185" spans="1:19">
      <c r="A185" s="92">
        <v>43171</v>
      </c>
      <c r="C185" s="1" t="s">
        <v>56</v>
      </c>
      <c r="E185" s="98" t="s">
        <v>541</v>
      </c>
      <c r="F185" s="1" t="s">
        <v>542</v>
      </c>
      <c r="G185" s="1" t="s">
        <v>2079</v>
      </c>
      <c r="H185" s="1">
        <v>0.01</v>
      </c>
      <c r="I185" s="1" t="s">
        <v>1723</v>
      </c>
      <c r="J185" s="1">
        <v>6.9999999999999999E-4</v>
      </c>
      <c r="K185" s="1" t="s">
        <v>172</v>
      </c>
      <c r="L185" s="1" t="s">
        <v>131</v>
      </c>
      <c r="M185" s="1" t="s">
        <v>132</v>
      </c>
      <c r="N185" s="1" t="s">
        <v>72</v>
      </c>
      <c r="O185" s="1" t="s">
        <v>64</v>
      </c>
      <c r="P185" s="1" t="s">
        <v>133</v>
      </c>
      <c r="R185" s="93">
        <v>43171</v>
      </c>
      <c r="S185" s="93" t="s">
        <v>2666</v>
      </c>
    </row>
    <row r="186" spans="1:19">
      <c r="A186" s="92">
        <v>43162</v>
      </c>
      <c r="C186" s="1" t="s">
        <v>56</v>
      </c>
      <c r="E186" s="98" t="s">
        <v>541</v>
      </c>
      <c r="F186" s="1" t="s">
        <v>542</v>
      </c>
      <c r="G186" s="1" t="s">
        <v>2079</v>
      </c>
      <c r="H186" s="1">
        <v>0.5</v>
      </c>
      <c r="I186" s="1" t="s">
        <v>1931</v>
      </c>
      <c r="J186" s="1">
        <v>3.5000000000000003E-2</v>
      </c>
      <c r="K186" s="1" t="s">
        <v>172</v>
      </c>
      <c r="L186" s="1" t="s">
        <v>131</v>
      </c>
      <c r="M186" s="1" t="s">
        <v>132</v>
      </c>
      <c r="N186" s="1" t="s">
        <v>72</v>
      </c>
      <c r="O186" s="1" t="s">
        <v>64</v>
      </c>
      <c r="P186" s="1" t="s">
        <v>133</v>
      </c>
      <c r="R186" s="93">
        <v>43162</v>
      </c>
      <c r="S186" s="93" t="s">
        <v>2679</v>
      </c>
    </row>
    <row r="187" spans="1:19">
      <c r="A187" s="92">
        <v>43176</v>
      </c>
      <c r="C187" s="1" t="s">
        <v>56</v>
      </c>
      <c r="E187" s="98" t="s">
        <v>1932</v>
      </c>
      <c r="F187" s="1" t="s">
        <v>1933</v>
      </c>
      <c r="G187" s="1" t="s">
        <v>2080</v>
      </c>
      <c r="H187" s="1">
        <v>4</v>
      </c>
      <c r="I187" s="1" t="s">
        <v>1700</v>
      </c>
      <c r="J187" s="1">
        <v>0.28000000000000003</v>
      </c>
      <c r="K187" s="1" t="s">
        <v>144</v>
      </c>
      <c r="L187" s="1" t="s">
        <v>93</v>
      </c>
      <c r="M187" s="1" t="s">
        <v>94</v>
      </c>
      <c r="N187" s="1" t="s">
        <v>72</v>
      </c>
      <c r="O187" s="1" t="s">
        <v>64</v>
      </c>
      <c r="P187" s="1" t="s">
        <v>95</v>
      </c>
      <c r="R187" s="93">
        <v>43176</v>
      </c>
      <c r="S187" s="93" t="s">
        <v>2671</v>
      </c>
    </row>
    <row r="188" spans="1:19">
      <c r="A188" s="92">
        <v>43176</v>
      </c>
      <c r="C188" s="1" t="s">
        <v>56</v>
      </c>
      <c r="E188" s="98" t="s">
        <v>1932</v>
      </c>
      <c r="F188" s="1" t="s">
        <v>1933</v>
      </c>
      <c r="G188" s="1" t="s">
        <v>2080</v>
      </c>
      <c r="H188" s="1">
        <v>1</v>
      </c>
      <c r="I188" s="1" t="s">
        <v>1693</v>
      </c>
      <c r="J188" s="1">
        <v>7.0000000000000007E-2</v>
      </c>
      <c r="K188" s="1" t="s">
        <v>144</v>
      </c>
      <c r="L188" s="1" t="s">
        <v>93</v>
      </c>
      <c r="M188" s="1" t="s">
        <v>94</v>
      </c>
      <c r="N188" s="1" t="s">
        <v>72</v>
      </c>
      <c r="O188" s="1" t="s">
        <v>64</v>
      </c>
      <c r="P188" s="1" t="s">
        <v>95</v>
      </c>
      <c r="R188" s="93">
        <v>43176</v>
      </c>
      <c r="S188" s="93" t="s">
        <v>2671</v>
      </c>
    </row>
    <row r="189" spans="1:19">
      <c r="A189" s="92">
        <v>43175</v>
      </c>
      <c r="C189" s="1" t="s">
        <v>56</v>
      </c>
      <c r="E189" s="98" t="s">
        <v>1934</v>
      </c>
      <c r="F189" s="1" t="s">
        <v>1935</v>
      </c>
      <c r="G189" s="1" t="s">
        <v>2081</v>
      </c>
      <c r="H189" s="1">
        <v>0.01</v>
      </c>
      <c r="I189" s="1" t="s">
        <v>1727</v>
      </c>
      <c r="J189" s="1">
        <v>6.9999999999999999E-4</v>
      </c>
      <c r="K189" s="1" t="s">
        <v>164</v>
      </c>
      <c r="L189" s="1" t="s">
        <v>93</v>
      </c>
      <c r="M189" s="1" t="s">
        <v>94</v>
      </c>
      <c r="N189" s="1" t="s">
        <v>72</v>
      </c>
      <c r="O189" s="1" t="s">
        <v>64</v>
      </c>
      <c r="P189" s="1" t="s">
        <v>95</v>
      </c>
      <c r="R189" s="93">
        <v>43175</v>
      </c>
      <c r="S189" s="93" t="s">
        <v>2667</v>
      </c>
    </row>
    <row r="190" spans="1:19">
      <c r="A190" s="92">
        <v>43160</v>
      </c>
      <c r="C190" s="1" t="s">
        <v>56</v>
      </c>
      <c r="E190" s="98" t="s">
        <v>57</v>
      </c>
      <c r="F190" s="1" t="s">
        <v>58</v>
      </c>
      <c r="G190" s="1" t="s">
        <v>2082</v>
      </c>
      <c r="H190" s="1">
        <v>5.5</v>
      </c>
      <c r="I190" s="1" t="s">
        <v>59</v>
      </c>
      <c r="J190" s="1">
        <v>1.65</v>
      </c>
      <c r="K190" s="1" t="s">
        <v>60</v>
      </c>
      <c r="L190" s="1" t="s">
        <v>61</v>
      </c>
      <c r="M190" s="1" t="s">
        <v>62</v>
      </c>
      <c r="N190" s="1" t="s">
        <v>63</v>
      </c>
      <c r="O190" s="1" t="s">
        <v>64</v>
      </c>
      <c r="P190" s="1" t="s">
        <v>65</v>
      </c>
      <c r="R190" s="93">
        <v>43160</v>
      </c>
      <c r="S190" s="93" t="s">
        <v>2698</v>
      </c>
    </row>
    <row r="191" spans="1:19">
      <c r="A191" s="92">
        <v>43160</v>
      </c>
      <c r="C191" s="1" t="s">
        <v>66</v>
      </c>
      <c r="E191" s="98" t="s">
        <v>67</v>
      </c>
      <c r="F191" s="1" t="s">
        <v>68</v>
      </c>
      <c r="G191" s="1" t="s">
        <v>2083</v>
      </c>
      <c r="H191" s="1">
        <v>1</v>
      </c>
      <c r="I191" s="1" t="s">
        <v>59</v>
      </c>
      <c r="J191" s="1">
        <v>0.3</v>
      </c>
      <c r="K191" s="1" t="s">
        <v>69</v>
      </c>
      <c r="L191" s="1" t="s">
        <v>70</v>
      </c>
      <c r="M191" s="1" t="s">
        <v>71</v>
      </c>
      <c r="N191" s="1" t="s">
        <v>72</v>
      </c>
      <c r="O191" s="1" t="s">
        <v>64</v>
      </c>
      <c r="P191" s="1" t="s">
        <v>73</v>
      </c>
      <c r="R191" s="93">
        <v>43160</v>
      </c>
      <c r="S191" s="93" t="s">
        <v>2698</v>
      </c>
    </row>
    <row r="192" spans="1:19">
      <c r="A192" s="92">
        <v>43160</v>
      </c>
      <c r="C192" s="1" t="s">
        <v>66</v>
      </c>
      <c r="E192" s="98" t="s">
        <v>82</v>
      </c>
      <c r="F192" s="1" t="s">
        <v>83</v>
      </c>
      <c r="G192" s="1" t="s">
        <v>2084</v>
      </c>
      <c r="H192" s="1">
        <v>0.5</v>
      </c>
      <c r="I192" s="1" t="s">
        <v>59</v>
      </c>
      <c r="J192" s="1">
        <v>0.15</v>
      </c>
      <c r="K192" s="1" t="s">
        <v>84</v>
      </c>
      <c r="L192" s="1" t="s">
        <v>85</v>
      </c>
      <c r="M192" s="1" t="s">
        <v>71</v>
      </c>
      <c r="N192" s="1" t="s">
        <v>72</v>
      </c>
      <c r="O192" s="1" t="s">
        <v>64</v>
      </c>
      <c r="P192" s="1" t="s">
        <v>73</v>
      </c>
      <c r="R192" s="93">
        <v>43160</v>
      </c>
      <c r="S192" s="93" t="s">
        <v>2698</v>
      </c>
    </row>
    <row r="193" spans="1:19">
      <c r="A193" s="92">
        <v>43160</v>
      </c>
      <c r="C193" s="1" t="s">
        <v>56</v>
      </c>
      <c r="E193" s="98" t="s">
        <v>86</v>
      </c>
      <c r="F193" s="1" t="s">
        <v>87</v>
      </c>
      <c r="G193" s="1" t="s">
        <v>2085</v>
      </c>
      <c r="H193" s="1">
        <v>5</v>
      </c>
      <c r="I193" s="1" t="s">
        <v>88</v>
      </c>
      <c r="J193" s="1">
        <v>5</v>
      </c>
      <c r="K193" s="1" t="s">
        <v>89</v>
      </c>
      <c r="L193" s="1" t="s">
        <v>70</v>
      </c>
      <c r="M193" s="1" t="s">
        <v>71</v>
      </c>
      <c r="N193" s="1" t="s">
        <v>72</v>
      </c>
      <c r="O193" s="1" t="s">
        <v>64</v>
      </c>
      <c r="P193" s="1" t="s">
        <v>73</v>
      </c>
      <c r="R193" s="93">
        <v>43160</v>
      </c>
      <c r="S193" s="93" t="s">
        <v>2699</v>
      </c>
    </row>
    <row r="194" spans="1:19">
      <c r="A194" s="92">
        <v>43160</v>
      </c>
      <c r="C194" s="1" t="s">
        <v>56</v>
      </c>
      <c r="E194" s="98" t="s">
        <v>90</v>
      </c>
      <c r="F194" s="1" t="s">
        <v>91</v>
      </c>
      <c r="G194" s="1" t="s">
        <v>2086</v>
      </c>
      <c r="H194" s="1">
        <v>0.12</v>
      </c>
      <c r="I194" s="1" t="s">
        <v>88</v>
      </c>
      <c r="J194" s="1">
        <v>0.12</v>
      </c>
      <c r="K194" s="1" t="s">
        <v>92</v>
      </c>
      <c r="L194" s="1" t="s">
        <v>93</v>
      </c>
      <c r="M194" s="1" t="s">
        <v>94</v>
      </c>
      <c r="N194" s="1" t="s">
        <v>72</v>
      </c>
      <c r="O194" s="1" t="s">
        <v>64</v>
      </c>
      <c r="P194" s="1" t="s">
        <v>95</v>
      </c>
      <c r="R194" s="93">
        <v>43160</v>
      </c>
      <c r="S194" s="93" t="s">
        <v>2699</v>
      </c>
    </row>
    <row r="195" spans="1:19">
      <c r="A195" s="92">
        <v>43160</v>
      </c>
      <c r="C195" s="1" t="s">
        <v>56</v>
      </c>
      <c r="E195" s="98" t="s">
        <v>96</v>
      </c>
      <c r="F195" s="1" t="s">
        <v>97</v>
      </c>
      <c r="G195" s="1" t="s">
        <v>2087</v>
      </c>
      <c r="H195" s="1">
        <v>11.065205000000001</v>
      </c>
      <c r="I195" s="1" t="s">
        <v>98</v>
      </c>
      <c r="J195" s="1">
        <v>11.065205000000001</v>
      </c>
      <c r="K195" s="1" t="s">
        <v>97</v>
      </c>
      <c r="L195" s="1" t="s">
        <v>93</v>
      </c>
      <c r="M195" s="1" t="s">
        <v>94</v>
      </c>
      <c r="N195" s="1" t="s">
        <v>72</v>
      </c>
      <c r="O195" s="1" t="s">
        <v>64</v>
      </c>
      <c r="P195" s="1" t="s">
        <v>95</v>
      </c>
      <c r="R195" s="93">
        <v>43160</v>
      </c>
      <c r="S195" s="93" t="s">
        <v>2699</v>
      </c>
    </row>
    <row r="196" spans="1:19">
      <c r="A196" s="92">
        <v>43160</v>
      </c>
      <c r="C196" s="1" t="s">
        <v>56</v>
      </c>
      <c r="E196" s="98" t="s">
        <v>99</v>
      </c>
      <c r="F196" s="1" t="s">
        <v>100</v>
      </c>
      <c r="G196" s="1" t="s">
        <v>2088</v>
      </c>
      <c r="H196" s="1">
        <v>11.065205000000001</v>
      </c>
      <c r="I196" s="1" t="s">
        <v>98</v>
      </c>
      <c r="J196" s="1">
        <v>11.065205000000001</v>
      </c>
      <c r="K196" s="1" t="s">
        <v>101</v>
      </c>
      <c r="L196" s="1" t="s">
        <v>102</v>
      </c>
      <c r="M196" s="1" t="s">
        <v>94</v>
      </c>
      <c r="N196" s="1" t="s">
        <v>72</v>
      </c>
      <c r="O196" s="1" t="s">
        <v>64</v>
      </c>
      <c r="P196" s="1" t="s">
        <v>95</v>
      </c>
      <c r="R196" s="93">
        <v>43160</v>
      </c>
      <c r="S196" s="93" t="s">
        <v>2699</v>
      </c>
    </row>
    <row r="197" spans="1:19">
      <c r="A197" s="92">
        <v>43160</v>
      </c>
      <c r="C197" s="1" t="s">
        <v>56</v>
      </c>
      <c r="E197" s="98" t="s">
        <v>103</v>
      </c>
      <c r="F197" s="1" t="s">
        <v>104</v>
      </c>
      <c r="G197" s="1" t="s">
        <v>2089</v>
      </c>
      <c r="H197" s="1">
        <v>2.5892580000000001</v>
      </c>
      <c r="I197" s="1" t="s">
        <v>98</v>
      </c>
      <c r="J197" s="1">
        <v>2.5892580000000001</v>
      </c>
      <c r="K197" s="1" t="s">
        <v>105</v>
      </c>
      <c r="L197" s="1" t="s">
        <v>105</v>
      </c>
      <c r="M197" s="1" t="s">
        <v>62</v>
      </c>
      <c r="N197" s="1" t="s">
        <v>63</v>
      </c>
      <c r="O197" s="1" t="s">
        <v>64</v>
      </c>
      <c r="P197" s="1" t="s">
        <v>65</v>
      </c>
      <c r="R197" s="93">
        <v>43160</v>
      </c>
      <c r="S197" s="93" t="s">
        <v>2699</v>
      </c>
    </row>
    <row r="198" spans="1:19">
      <c r="A198" s="92">
        <v>43160</v>
      </c>
      <c r="C198" s="1" t="s">
        <v>56</v>
      </c>
      <c r="E198" s="98" t="s">
        <v>106</v>
      </c>
      <c r="F198" s="1" t="s">
        <v>107</v>
      </c>
      <c r="G198" s="1" t="s">
        <v>2090</v>
      </c>
      <c r="H198" s="1">
        <v>5</v>
      </c>
      <c r="I198" s="1" t="s">
        <v>108</v>
      </c>
      <c r="J198" s="1">
        <v>5</v>
      </c>
      <c r="K198" s="1" t="s">
        <v>109</v>
      </c>
      <c r="L198" s="1" t="s">
        <v>110</v>
      </c>
      <c r="M198" s="1" t="s">
        <v>52</v>
      </c>
      <c r="N198" s="1" t="s">
        <v>63</v>
      </c>
      <c r="O198" s="1" t="s">
        <v>64</v>
      </c>
      <c r="P198" s="1" t="s">
        <v>111</v>
      </c>
      <c r="R198" s="93">
        <v>43160</v>
      </c>
      <c r="S198" s="93" t="s">
        <v>2700</v>
      </c>
    </row>
    <row r="199" spans="1:19">
      <c r="A199" s="92">
        <v>43160</v>
      </c>
      <c r="C199" s="1" t="s">
        <v>56</v>
      </c>
      <c r="E199" s="98" t="s">
        <v>112</v>
      </c>
      <c r="F199" s="1" t="s">
        <v>113</v>
      </c>
      <c r="G199" s="1" t="s">
        <v>2091</v>
      </c>
      <c r="H199" s="1">
        <v>5</v>
      </c>
      <c r="I199" s="1" t="s">
        <v>108</v>
      </c>
      <c r="J199" s="1">
        <v>5</v>
      </c>
      <c r="K199" s="1" t="s">
        <v>114</v>
      </c>
      <c r="L199" s="1" t="s">
        <v>85</v>
      </c>
      <c r="M199" s="1" t="s">
        <v>71</v>
      </c>
      <c r="N199" s="1" t="s">
        <v>72</v>
      </c>
      <c r="O199" s="1" t="s">
        <v>64</v>
      </c>
      <c r="P199" s="1" t="s">
        <v>73</v>
      </c>
      <c r="R199" s="93">
        <v>43160</v>
      </c>
      <c r="S199" s="93" t="s">
        <v>2700</v>
      </c>
    </row>
    <row r="200" spans="1:19">
      <c r="A200" s="92">
        <v>43160</v>
      </c>
      <c r="C200" s="1" t="s">
        <v>66</v>
      </c>
      <c r="E200" s="98" t="s">
        <v>115</v>
      </c>
      <c r="F200" s="1" t="s">
        <v>116</v>
      </c>
      <c r="G200" s="1" t="s">
        <v>2092</v>
      </c>
      <c r="H200" s="1">
        <v>3</v>
      </c>
      <c r="I200" s="1" t="s">
        <v>108</v>
      </c>
      <c r="J200" s="1">
        <v>3</v>
      </c>
      <c r="K200" s="1" t="s">
        <v>116</v>
      </c>
      <c r="L200" s="1" t="s">
        <v>117</v>
      </c>
      <c r="M200" s="1" t="s">
        <v>2661</v>
      </c>
      <c r="N200" s="1" t="s">
        <v>72</v>
      </c>
      <c r="O200" s="1" t="s">
        <v>64</v>
      </c>
      <c r="P200" s="1" t="s">
        <v>53</v>
      </c>
      <c r="R200" s="93">
        <v>43160</v>
      </c>
      <c r="S200" s="93" t="s">
        <v>2700</v>
      </c>
    </row>
    <row r="201" spans="1:19">
      <c r="A201" s="92">
        <v>43160</v>
      </c>
      <c r="C201" s="1" t="s">
        <v>56</v>
      </c>
      <c r="E201" s="98" t="s">
        <v>90</v>
      </c>
      <c r="F201" s="1" t="s">
        <v>91</v>
      </c>
      <c r="G201" s="1" t="s">
        <v>2086</v>
      </c>
      <c r="H201" s="1">
        <v>0.53</v>
      </c>
      <c r="I201" s="1" t="s">
        <v>108</v>
      </c>
      <c r="J201" s="1">
        <v>0.53</v>
      </c>
      <c r="K201" s="1" t="s">
        <v>92</v>
      </c>
      <c r="L201" s="1" t="s">
        <v>93</v>
      </c>
      <c r="M201" s="1" t="s">
        <v>94</v>
      </c>
      <c r="N201" s="1" t="s">
        <v>72</v>
      </c>
      <c r="O201" s="1" t="s">
        <v>64</v>
      </c>
      <c r="P201" s="1" t="s">
        <v>95</v>
      </c>
      <c r="R201" s="93">
        <v>43160</v>
      </c>
      <c r="S201" s="93" t="s">
        <v>2700</v>
      </c>
    </row>
    <row r="202" spans="1:19">
      <c r="A202" s="92">
        <v>43160</v>
      </c>
      <c r="C202" s="1" t="s">
        <v>56</v>
      </c>
      <c r="E202" s="98" t="s">
        <v>119</v>
      </c>
      <c r="F202" s="1" t="s">
        <v>120</v>
      </c>
      <c r="G202" s="1" t="s">
        <v>2093</v>
      </c>
      <c r="H202" s="1">
        <v>2.2000000000000002</v>
      </c>
      <c r="I202" s="1" t="s">
        <v>108</v>
      </c>
      <c r="J202" s="1">
        <v>2.2000000000000002</v>
      </c>
      <c r="K202" s="1" t="s">
        <v>121</v>
      </c>
      <c r="L202" s="1" t="s">
        <v>93</v>
      </c>
      <c r="M202" s="1" t="s">
        <v>94</v>
      </c>
      <c r="N202" s="1" t="s">
        <v>72</v>
      </c>
      <c r="O202" s="1" t="s">
        <v>64</v>
      </c>
      <c r="P202" s="1" t="s">
        <v>95</v>
      </c>
      <c r="R202" s="93">
        <v>43160</v>
      </c>
      <c r="S202" s="93" t="s">
        <v>2700</v>
      </c>
    </row>
    <row r="203" spans="1:19">
      <c r="A203" s="92">
        <v>43160</v>
      </c>
      <c r="C203" s="1" t="s">
        <v>66</v>
      </c>
      <c r="E203" s="98" t="s">
        <v>122</v>
      </c>
      <c r="F203" s="1" t="s">
        <v>123</v>
      </c>
      <c r="G203" s="1" t="s">
        <v>2094</v>
      </c>
      <c r="H203" s="1">
        <v>2</v>
      </c>
      <c r="I203" s="1" t="s">
        <v>108</v>
      </c>
      <c r="J203" s="1">
        <v>2</v>
      </c>
      <c r="K203" s="1" t="s">
        <v>124</v>
      </c>
      <c r="L203" s="1" t="s">
        <v>117</v>
      </c>
      <c r="M203" s="1" t="s">
        <v>2661</v>
      </c>
      <c r="N203" s="1" t="s">
        <v>72</v>
      </c>
      <c r="O203" s="1" t="s">
        <v>64</v>
      </c>
      <c r="P203" s="1" t="s">
        <v>53</v>
      </c>
      <c r="R203" s="93">
        <v>43160</v>
      </c>
      <c r="S203" s="93" t="s">
        <v>2700</v>
      </c>
    </row>
    <row r="204" spans="1:19">
      <c r="A204" s="92">
        <v>43160</v>
      </c>
      <c r="C204" s="1" t="s">
        <v>56</v>
      </c>
      <c r="E204" s="98" t="s">
        <v>125</v>
      </c>
      <c r="F204" s="1" t="s">
        <v>126</v>
      </c>
      <c r="G204" s="1" t="s">
        <v>2095</v>
      </c>
      <c r="H204" s="1">
        <v>1</v>
      </c>
      <c r="I204" s="1" t="s">
        <v>108</v>
      </c>
      <c r="J204" s="1">
        <v>1</v>
      </c>
      <c r="K204" s="1" t="s">
        <v>127</v>
      </c>
      <c r="L204" s="1" t="s">
        <v>110</v>
      </c>
      <c r="M204" s="1" t="s">
        <v>52</v>
      </c>
      <c r="N204" s="1" t="s">
        <v>63</v>
      </c>
      <c r="O204" s="1" t="s">
        <v>64</v>
      </c>
      <c r="P204" s="1" t="s">
        <v>111</v>
      </c>
      <c r="R204" s="93">
        <v>43160</v>
      </c>
      <c r="S204" s="93" t="s">
        <v>2700</v>
      </c>
    </row>
    <row r="205" spans="1:19">
      <c r="A205" s="92">
        <v>43160</v>
      </c>
      <c r="C205" s="1" t="s">
        <v>66</v>
      </c>
      <c r="E205" s="98" t="s">
        <v>128</v>
      </c>
      <c r="F205" s="1" t="s">
        <v>129</v>
      </c>
      <c r="G205" s="1" t="s">
        <v>2096</v>
      </c>
      <c r="H205" s="1">
        <v>1</v>
      </c>
      <c r="I205" s="1" t="s">
        <v>108</v>
      </c>
      <c r="J205" s="1">
        <v>1</v>
      </c>
      <c r="K205" s="1" t="s">
        <v>130</v>
      </c>
      <c r="L205" s="1" t="s">
        <v>131</v>
      </c>
      <c r="M205" s="1" t="s">
        <v>132</v>
      </c>
      <c r="N205" s="1" t="s">
        <v>72</v>
      </c>
      <c r="O205" s="1" t="s">
        <v>64</v>
      </c>
      <c r="P205" s="1" t="s">
        <v>133</v>
      </c>
      <c r="R205" s="93">
        <v>43160</v>
      </c>
      <c r="S205" s="93" t="s">
        <v>2700</v>
      </c>
    </row>
    <row r="206" spans="1:19">
      <c r="A206" s="92">
        <v>43160</v>
      </c>
      <c r="C206" s="1" t="s">
        <v>56</v>
      </c>
      <c r="E206" s="98" t="s">
        <v>134</v>
      </c>
      <c r="F206" s="1" t="s">
        <v>135</v>
      </c>
      <c r="G206" s="1" t="s">
        <v>2097</v>
      </c>
      <c r="H206" s="1">
        <v>2.2599999999999998</v>
      </c>
      <c r="I206" s="1" t="s">
        <v>108</v>
      </c>
      <c r="J206" s="1">
        <v>2.2599999999999998</v>
      </c>
      <c r="K206" s="1" t="s">
        <v>136</v>
      </c>
      <c r="L206" s="1" t="s">
        <v>85</v>
      </c>
      <c r="M206" s="1" t="s">
        <v>71</v>
      </c>
      <c r="N206" s="1" t="s">
        <v>72</v>
      </c>
      <c r="O206" s="1" t="s">
        <v>64</v>
      </c>
      <c r="P206" s="1" t="s">
        <v>73</v>
      </c>
      <c r="R206" s="93">
        <v>43160</v>
      </c>
      <c r="S206" s="93" t="s">
        <v>2700</v>
      </c>
    </row>
    <row r="207" spans="1:19">
      <c r="A207" s="92">
        <v>43160</v>
      </c>
      <c r="C207" s="1" t="s">
        <v>56</v>
      </c>
      <c r="E207" s="98" t="s">
        <v>137</v>
      </c>
      <c r="F207" s="1" t="s">
        <v>138</v>
      </c>
      <c r="G207" s="1" t="s">
        <v>2098</v>
      </c>
      <c r="H207" s="1">
        <v>8</v>
      </c>
      <c r="I207" s="1" t="s">
        <v>108</v>
      </c>
      <c r="J207" s="1">
        <v>8</v>
      </c>
      <c r="K207" s="1" t="s">
        <v>139</v>
      </c>
      <c r="L207" s="1" t="s">
        <v>131</v>
      </c>
      <c r="M207" s="1" t="s">
        <v>132</v>
      </c>
      <c r="N207" s="1" t="s">
        <v>72</v>
      </c>
      <c r="O207" s="1" t="s">
        <v>64</v>
      </c>
      <c r="P207" s="1" t="s">
        <v>133</v>
      </c>
      <c r="R207" s="93">
        <v>43160</v>
      </c>
      <c r="S207" s="93" t="s">
        <v>2700</v>
      </c>
    </row>
    <row r="208" spans="1:19">
      <c r="A208" s="92">
        <v>43160</v>
      </c>
      <c r="C208" s="1" t="s">
        <v>56</v>
      </c>
      <c r="E208" s="98" t="s">
        <v>140</v>
      </c>
      <c r="F208" s="1" t="s">
        <v>141</v>
      </c>
      <c r="G208" s="1" t="s">
        <v>2099</v>
      </c>
      <c r="H208" s="1">
        <v>3.8</v>
      </c>
      <c r="I208" s="1" t="s">
        <v>108</v>
      </c>
      <c r="J208" s="1">
        <v>3.8</v>
      </c>
      <c r="K208" s="1" t="s">
        <v>141</v>
      </c>
      <c r="L208" s="1" t="s">
        <v>131</v>
      </c>
      <c r="M208" s="1" t="s">
        <v>132</v>
      </c>
      <c r="N208" s="1" t="s">
        <v>72</v>
      </c>
      <c r="O208" s="1" t="s">
        <v>64</v>
      </c>
      <c r="P208" s="1" t="s">
        <v>133</v>
      </c>
      <c r="R208" s="93">
        <v>43160</v>
      </c>
      <c r="S208" s="93" t="s">
        <v>2700</v>
      </c>
    </row>
    <row r="209" spans="1:19">
      <c r="A209" s="92">
        <v>43160</v>
      </c>
      <c r="C209" s="1" t="s">
        <v>66</v>
      </c>
      <c r="E209" s="98" t="s">
        <v>142</v>
      </c>
      <c r="F209" s="1" t="s">
        <v>143</v>
      </c>
      <c r="G209" s="1" t="s">
        <v>2100</v>
      </c>
      <c r="H209" s="1">
        <v>6</v>
      </c>
      <c r="I209" s="1" t="s">
        <v>108</v>
      </c>
      <c r="J209" s="1">
        <v>6</v>
      </c>
      <c r="K209" s="1" t="s">
        <v>144</v>
      </c>
      <c r="L209" s="1" t="s">
        <v>93</v>
      </c>
      <c r="M209" s="1" t="s">
        <v>94</v>
      </c>
      <c r="N209" s="1" t="s">
        <v>72</v>
      </c>
      <c r="O209" s="1" t="s">
        <v>64</v>
      </c>
      <c r="P209" s="1" t="s">
        <v>95</v>
      </c>
      <c r="R209" s="93">
        <v>43160</v>
      </c>
      <c r="S209" s="93" t="s">
        <v>2700</v>
      </c>
    </row>
    <row r="210" spans="1:19">
      <c r="A210" s="92">
        <v>43160</v>
      </c>
      <c r="C210" s="1" t="s">
        <v>56</v>
      </c>
      <c r="E210" s="98" t="s">
        <v>145</v>
      </c>
      <c r="F210" s="1" t="s">
        <v>146</v>
      </c>
      <c r="G210" s="1" t="s">
        <v>2101</v>
      </c>
      <c r="H210" s="1">
        <v>0.5</v>
      </c>
      <c r="I210" s="1" t="s">
        <v>108</v>
      </c>
      <c r="J210" s="1">
        <v>0.5</v>
      </c>
      <c r="K210" s="1" t="s">
        <v>147</v>
      </c>
      <c r="L210" s="1" t="s">
        <v>110</v>
      </c>
      <c r="M210" s="1" t="s">
        <v>52</v>
      </c>
      <c r="N210" s="1" t="s">
        <v>63</v>
      </c>
      <c r="O210" s="1" t="s">
        <v>64</v>
      </c>
      <c r="P210" s="1" t="s">
        <v>111</v>
      </c>
      <c r="R210" s="93">
        <v>43160</v>
      </c>
      <c r="S210" s="93" t="s">
        <v>2700</v>
      </c>
    </row>
    <row r="211" spans="1:19">
      <c r="A211" s="92">
        <v>43160</v>
      </c>
      <c r="C211" s="1" t="s">
        <v>56</v>
      </c>
      <c r="E211" s="98" t="s">
        <v>148</v>
      </c>
      <c r="F211" s="1" t="s">
        <v>149</v>
      </c>
      <c r="G211" s="1" t="s">
        <v>2102</v>
      </c>
      <c r="H211" s="1">
        <v>6</v>
      </c>
      <c r="I211" s="1" t="s">
        <v>108</v>
      </c>
      <c r="J211" s="1">
        <v>6</v>
      </c>
      <c r="K211" s="1" t="s">
        <v>149</v>
      </c>
      <c r="L211" s="1" t="s">
        <v>150</v>
      </c>
      <c r="M211" s="1" t="s">
        <v>132</v>
      </c>
      <c r="N211" s="1" t="s">
        <v>72</v>
      </c>
      <c r="O211" s="1" t="s">
        <v>64</v>
      </c>
      <c r="P211" s="1" t="s">
        <v>133</v>
      </c>
      <c r="R211" s="93">
        <v>43160</v>
      </c>
      <c r="S211" s="93" t="s">
        <v>2700</v>
      </c>
    </row>
    <row r="212" spans="1:19">
      <c r="A212" s="92">
        <v>43161</v>
      </c>
      <c r="C212" s="1" t="s">
        <v>56</v>
      </c>
      <c r="E212" s="98" t="s">
        <v>151</v>
      </c>
      <c r="F212" s="1" t="s">
        <v>152</v>
      </c>
      <c r="G212" s="1" t="s">
        <v>2103</v>
      </c>
      <c r="H212" s="1">
        <v>22.130410999999999</v>
      </c>
      <c r="I212" s="1" t="s">
        <v>108</v>
      </c>
      <c r="J212" s="1">
        <v>22.130410999999999</v>
      </c>
      <c r="K212" s="1" t="s">
        <v>70</v>
      </c>
      <c r="L212" s="1" t="s">
        <v>70</v>
      </c>
      <c r="M212" s="1" t="s">
        <v>71</v>
      </c>
      <c r="N212" s="1" t="s">
        <v>72</v>
      </c>
      <c r="O212" s="1" t="s">
        <v>64</v>
      </c>
      <c r="P212" s="1" t="s">
        <v>73</v>
      </c>
      <c r="R212" s="93">
        <v>43161</v>
      </c>
      <c r="S212" s="93" t="s">
        <v>2700</v>
      </c>
    </row>
    <row r="213" spans="1:19">
      <c r="A213" s="92">
        <v>43161</v>
      </c>
      <c r="C213" s="1" t="s">
        <v>56</v>
      </c>
      <c r="E213" s="98" t="s">
        <v>153</v>
      </c>
      <c r="F213" s="1" t="s">
        <v>154</v>
      </c>
      <c r="G213" s="1" t="s">
        <v>2104</v>
      </c>
      <c r="H213" s="1">
        <v>5.5436680000000003</v>
      </c>
      <c r="I213" s="1" t="s">
        <v>108</v>
      </c>
      <c r="J213" s="1">
        <v>5.5436680000000003</v>
      </c>
      <c r="K213" s="1" t="s">
        <v>155</v>
      </c>
      <c r="L213" s="1" t="s">
        <v>70</v>
      </c>
      <c r="M213" s="1" t="s">
        <v>71</v>
      </c>
      <c r="N213" s="1" t="s">
        <v>72</v>
      </c>
      <c r="O213" s="1" t="s">
        <v>64</v>
      </c>
      <c r="P213" s="1" t="s">
        <v>73</v>
      </c>
      <c r="R213" s="93">
        <v>43161</v>
      </c>
      <c r="S213" s="93" t="s">
        <v>2700</v>
      </c>
    </row>
    <row r="214" spans="1:19">
      <c r="A214" s="92">
        <v>43160</v>
      </c>
      <c r="C214" s="1" t="s">
        <v>56</v>
      </c>
      <c r="E214" s="98" t="s">
        <v>156</v>
      </c>
      <c r="F214" s="1" t="s">
        <v>157</v>
      </c>
      <c r="G214" s="1" t="s">
        <v>2105</v>
      </c>
      <c r="H214" s="1">
        <v>1.3</v>
      </c>
      <c r="I214" s="1" t="s">
        <v>158</v>
      </c>
      <c r="J214" s="1">
        <v>0.78</v>
      </c>
      <c r="K214" s="1" t="s">
        <v>149</v>
      </c>
      <c r="L214" s="1" t="s">
        <v>150</v>
      </c>
      <c r="M214" s="1" t="s">
        <v>132</v>
      </c>
      <c r="N214" s="1" t="s">
        <v>72</v>
      </c>
      <c r="O214" s="1" t="s">
        <v>64</v>
      </c>
      <c r="P214" s="1" t="s">
        <v>133</v>
      </c>
      <c r="R214" s="93">
        <v>43160</v>
      </c>
      <c r="S214" s="93" t="s">
        <v>2701</v>
      </c>
    </row>
    <row r="215" spans="1:19">
      <c r="A215" s="92">
        <v>43160</v>
      </c>
      <c r="C215" s="1" t="s">
        <v>56</v>
      </c>
      <c r="E215" s="98" t="s">
        <v>162</v>
      </c>
      <c r="F215" s="1" t="s">
        <v>163</v>
      </c>
      <c r="G215" s="1" t="s">
        <v>2106</v>
      </c>
      <c r="H215" s="1">
        <v>20</v>
      </c>
      <c r="I215" s="1" t="s">
        <v>158</v>
      </c>
      <c r="J215" s="1">
        <v>12</v>
      </c>
      <c r="K215" s="1" t="s">
        <v>164</v>
      </c>
      <c r="L215" s="1" t="s">
        <v>93</v>
      </c>
      <c r="M215" s="1" t="s">
        <v>94</v>
      </c>
      <c r="N215" s="1" t="s">
        <v>72</v>
      </c>
      <c r="O215" s="1" t="s">
        <v>64</v>
      </c>
      <c r="P215" s="1" t="s">
        <v>95</v>
      </c>
      <c r="R215" s="93">
        <v>43160</v>
      </c>
      <c r="S215" s="93" t="s">
        <v>2701</v>
      </c>
    </row>
    <row r="216" spans="1:19">
      <c r="A216" s="92">
        <v>43160</v>
      </c>
      <c r="C216" s="1" t="s">
        <v>56</v>
      </c>
      <c r="E216" s="98" t="s">
        <v>165</v>
      </c>
      <c r="F216" s="1" t="s">
        <v>166</v>
      </c>
      <c r="G216" s="1" t="s">
        <v>2107</v>
      </c>
      <c r="H216" s="1">
        <v>35</v>
      </c>
      <c r="I216" s="1" t="s">
        <v>158</v>
      </c>
      <c r="J216" s="1">
        <v>21</v>
      </c>
      <c r="K216" s="1" t="s">
        <v>167</v>
      </c>
      <c r="L216" s="1" t="s">
        <v>117</v>
      </c>
      <c r="M216" s="1" t="s">
        <v>2661</v>
      </c>
      <c r="N216" s="1" t="s">
        <v>72</v>
      </c>
      <c r="O216" s="1" t="s">
        <v>64</v>
      </c>
      <c r="P216" s="1" t="s">
        <v>53</v>
      </c>
      <c r="R216" s="93">
        <v>43160</v>
      </c>
      <c r="S216" s="93" t="s">
        <v>2701</v>
      </c>
    </row>
    <row r="217" spans="1:19">
      <c r="A217" s="92">
        <v>43160</v>
      </c>
      <c r="C217" s="1" t="s">
        <v>56</v>
      </c>
      <c r="E217" s="98" t="s">
        <v>168</v>
      </c>
      <c r="F217" s="1" t="s">
        <v>169</v>
      </c>
      <c r="G217" s="1" t="s">
        <v>2108</v>
      </c>
      <c r="H217" s="1">
        <v>4</v>
      </c>
      <c r="I217" s="1" t="s">
        <v>158</v>
      </c>
      <c r="J217" s="1">
        <v>2.4</v>
      </c>
      <c r="K217" s="1" t="s">
        <v>141</v>
      </c>
      <c r="L217" s="1" t="s">
        <v>131</v>
      </c>
      <c r="M217" s="1" t="s">
        <v>132</v>
      </c>
      <c r="N217" s="1" t="s">
        <v>72</v>
      </c>
      <c r="O217" s="1" t="s">
        <v>64</v>
      </c>
      <c r="P217" s="1" t="s">
        <v>133</v>
      </c>
      <c r="R217" s="93">
        <v>43160</v>
      </c>
      <c r="S217" s="93" t="s">
        <v>2701</v>
      </c>
    </row>
    <row r="218" spans="1:19">
      <c r="A218" s="92">
        <v>43160</v>
      </c>
      <c r="C218" s="1" t="s">
        <v>56</v>
      </c>
      <c r="E218" s="98" t="s">
        <v>170</v>
      </c>
      <c r="F218" s="1" t="s">
        <v>171</v>
      </c>
      <c r="G218" s="1" t="s">
        <v>2109</v>
      </c>
      <c r="H218" s="1">
        <v>4.4000000000000004</v>
      </c>
      <c r="I218" s="1" t="s">
        <v>158</v>
      </c>
      <c r="J218" s="1">
        <v>2.64</v>
      </c>
      <c r="K218" s="1" t="s">
        <v>172</v>
      </c>
      <c r="L218" s="1" t="s">
        <v>131</v>
      </c>
      <c r="M218" s="1" t="s">
        <v>132</v>
      </c>
      <c r="N218" s="1" t="s">
        <v>72</v>
      </c>
      <c r="O218" s="1" t="s">
        <v>64</v>
      </c>
      <c r="P218" s="1" t="s">
        <v>133</v>
      </c>
      <c r="R218" s="93">
        <v>43160</v>
      </c>
      <c r="S218" s="93" t="s">
        <v>2701</v>
      </c>
    </row>
    <row r="219" spans="1:19">
      <c r="A219" s="92">
        <v>43160</v>
      </c>
      <c r="C219" s="1" t="s">
        <v>56</v>
      </c>
      <c r="E219" s="98" t="s">
        <v>170</v>
      </c>
      <c r="F219" s="1" t="s">
        <v>171</v>
      </c>
      <c r="G219" s="1" t="s">
        <v>2109</v>
      </c>
      <c r="H219" s="1">
        <v>1</v>
      </c>
      <c r="I219" s="1" t="s">
        <v>158</v>
      </c>
      <c r="J219" s="1">
        <v>0.6</v>
      </c>
      <c r="K219" s="1" t="s">
        <v>172</v>
      </c>
      <c r="L219" s="1" t="s">
        <v>131</v>
      </c>
      <c r="M219" s="1" t="s">
        <v>132</v>
      </c>
      <c r="N219" s="1" t="s">
        <v>72</v>
      </c>
      <c r="O219" s="1" t="s">
        <v>64</v>
      </c>
      <c r="P219" s="1" t="s">
        <v>133</v>
      </c>
      <c r="R219" s="93">
        <v>43160</v>
      </c>
      <c r="S219" s="93" t="s">
        <v>2701</v>
      </c>
    </row>
    <row r="220" spans="1:19">
      <c r="A220" s="92">
        <v>43160</v>
      </c>
      <c r="C220" s="1" t="s">
        <v>66</v>
      </c>
      <c r="E220" s="98" t="s">
        <v>173</v>
      </c>
      <c r="F220" s="1" t="s">
        <v>174</v>
      </c>
      <c r="G220" s="1" t="s">
        <v>2110</v>
      </c>
      <c r="H220" s="1">
        <v>0.5</v>
      </c>
      <c r="I220" s="1" t="s">
        <v>158</v>
      </c>
      <c r="J220" s="1">
        <v>0.3</v>
      </c>
      <c r="K220" s="1" t="s">
        <v>175</v>
      </c>
      <c r="L220" s="1" t="s">
        <v>131</v>
      </c>
      <c r="M220" s="1" t="s">
        <v>132</v>
      </c>
      <c r="N220" s="1" t="s">
        <v>72</v>
      </c>
      <c r="O220" s="1" t="s">
        <v>64</v>
      </c>
      <c r="P220" s="1" t="s">
        <v>133</v>
      </c>
      <c r="R220" s="93">
        <v>43160</v>
      </c>
      <c r="S220" s="93" t="s">
        <v>2701</v>
      </c>
    </row>
    <row r="221" spans="1:19">
      <c r="A221" s="92">
        <v>43160</v>
      </c>
      <c r="C221" s="1" t="s">
        <v>56</v>
      </c>
      <c r="E221" s="98" t="s">
        <v>179</v>
      </c>
      <c r="F221" s="1" t="s">
        <v>180</v>
      </c>
      <c r="G221" s="1" t="s">
        <v>2111</v>
      </c>
      <c r="H221" s="1">
        <v>10</v>
      </c>
      <c r="I221" s="1" t="s">
        <v>181</v>
      </c>
      <c r="J221" s="1">
        <v>15</v>
      </c>
      <c r="K221" s="1" t="s">
        <v>182</v>
      </c>
      <c r="L221" s="1" t="s">
        <v>93</v>
      </c>
      <c r="M221" s="1" t="s">
        <v>94</v>
      </c>
      <c r="N221" s="1" t="s">
        <v>72</v>
      </c>
      <c r="O221" s="1" t="s">
        <v>64</v>
      </c>
      <c r="P221" s="1" t="s">
        <v>95</v>
      </c>
      <c r="R221" s="93">
        <v>43160</v>
      </c>
      <c r="S221" s="93" t="s">
        <v>2702</v>
      </c>
    </row>
    <row r="222" spans="1:19">
      <c r="A222" s="92">
        <v>43160</v>
      </c>
      <c r="C222" s="1" t="s">
        <v>56</v>
      </c>
      <c r="E222" s="98" t="s">
        <v>190</v>
      </c>
      <c r="F222" s="1" t="s">
        <v>191</v>
      </c>
      <c r="G222" s="1" t="s">
        <v>2112</v>
      </c>
      <c r="H222" s="1">
        <v>3</v>
      </c>
      <c r="I222" s="1" t="s">
        <v>185</v>
      </c>
      <c r="J222" s="1">
        <v>0.9</v>
      </c>
      <c r="K222" s="1" t="s">
        <v>192</v>
      </c>
      <c r="L222" s="1" t="s">
        <v>193</v>
      </c>
      <c r="M222" s="1" t="s">
        <v>62</v>
      </c>
      <c r="N222" s="1" t="s">
        <v>63</v>
      </c>
      <c r="O222" s="1" t="s">
        <v>64</v>
      </c>
      <c r="P222" s="1" t="s">
        <v>65</v>
      </c>
      <c r="R222" s="93">
        <v>43160</v>
      </c>
      <c r="S222" s="93" t="s">
        <v>2703</v>
      </c>
    </row>
    <row r="223" spans="1:19">
      <c r="A223" s="92">
        <v>43160</v>
      </c>
      <c r="C223" s="1" t="s">
        <v>56</v>
      </c>
      <c r="E223" s="98" t="s">
        <v>194</v>
      </c>
      <c r="F223" s="1" t="s">
        <v>195</v>
      </c>
      <c r="G223" s="1" t="s">
        <v>2113</v>
      </c>
      <c r="H223" s="1">
        <v>5</v>
      </c>
      <c r="I223" s="1" t="s">
        <v>185</v>
      </c>
      <c r="J223" s="1">
        <v>1.5</v>
      </c>
      <c r="K223" s="1" t="s">
        <v>150</v>
      </c>
      <c r="L223" s="1" t="s">
        <v>150</v>
      </c>
      <c r="M223" s="1" t="s">
        <v>132</v>
      </c>
      <c r="N223" s="1" t="s">
        <v>72</v>
      </c>
      <c r="O223" s="1" t="s">
        <v>64</v>
      </c>
      <c r="P223" s="1" t="s">
        <v>133</v>
      </c>
      <c r="R223" s="93">
        <v>43160</v>
      </c>
      <c r="S223" s="93" t="s">
        <v>2703</v>
      </c>
    </row>
    <row r="224" spans="1:19">
      <c r="A224" s="92">
        <v>43160</v>
      </c>
      <c r="C224" s="1" t="s">
        <v>66</v>
      </c>
      <c r="E224" s="98" t="s">
        <v>115</v>
      </c>
      <c r="F224" s="1" t="s">
        <v>116</v>
      </c>
      <c r="G224" s="1" t="s">
        <v>2092</v>
      </c>
      <c r="H224" s="1">
        <v>20</v>
      </c>
      <c r="I224" s="1" t="s">
        <v>185</v>
      </c>
      <c r="J224" s="1">
        <v>6</v>
      </c>
      <c r="K224" s="1" t="s">
        <v>116</v>
      </c>
      <c r="L224" s="1" t="s">
        <v>117</v>
      </c>
      <c r="M224" s="1" t="s">
        <v>2661</v>
      </c>
      <c r="N224" s="1" t="s">
        <v>72</v>
      </c>
      <c r="O224" s="1" t="s">
        <v>64</v>
      </c>
      <c r="P224" s="1" t="s">
        <v>53</v>
      </c>
      <c r="R224" s="93">
        <v>43160</v>
      </c>
      <c r="S224" s="93" t="s">
        <v>2703</v>
      </c>
    </row>
    <row r="225" spans="1:19">
      <c r="A225" s="92">
        <v>43160</v>
      </c>
      <c r="C225" s="1" t="s">
        <v>56</v>
      </c>
      <c r="E225" s="98" t="s">
        <v>199</v>
      </c>
      <c r="F225" s="1" t="s">
        <v>200</v>
      </c>
      <c r="G225" s="1" t="s">
        <v>2011</v>
      </c>
      <c r="H225" s="1">
        <v>5</v>
      </c>
      <c r="I225" s="1" t="s">
        <v>185</v>
      </c>
      <c r="J225" s="1">
        <v>1.5</v>
      </c>
      <c r="K225" s="1" t="s">
        <v>201</v>
      </c>
      <c r="L225" s="1" t="s">
        <v>61</v>
      </c>
      <c r="M225" s="1" t="s">
        <v>62</v>
      </c>
      <c r="N225" s="1" t="s">
        <v>63</v>
      </c>
      <c r="O225" s="1" t="s">
        <v>64</v>
      </c>
      <c r="P225" s="1" t="s">
        <v>65</v>
      </c>
      <c r="R225" s="93">
        <v>43160</v>
      </c>
      <c r="S225" s="93" t="s">
        <v>2703</v>
      </c>
    </row>
    <row r="226" spans="1:19">
      <c r="A226" s="92">
        <v>43160</v>
      </c>
      <c r="C226" s="1" t="s">
        <v>56</v>
      </c>
      <c r="E226" s="98" t="s">
        <v>204</v>
      </c>
      <c r="F226" s="1" t="s">
        <v>205</v>
      </c>
      <c r="G226" s="1" t="s">
        <v>2114</v>
      </c>
      <c r="H226" s="1">
        <v>2</v>
      </c>
      <c r="I226" s="1" t="s">
        <v>185</v>
      </c>
      <c r="J226" s="1">
        <v>0.6</v>
      </c>
      <c r="K226" s="1" t="s">
        <v>206</v>
      </c>
      <c r="L226" s="1" t="s">
        <v>70</v>
      </c>
      <c r="M226" s="1" t="s">
        <v>71</v>
      </c>
      <c r="N226" s="1" t="s">
        <v>72</v>
      </c>
      <c r="O226" s="1" t="s">
        <v>64</v>
      </c>
      <c r="P226" s="1" t="s">
        <v>73</v>
      </c>
      <c r="R226" s="93">
        <v>43160</v>
      </c>
      <c r="S226" s="93" t="s">
        <v>2703</v>
      </c>
    </row>
    <row r="227" spans="1:19">
      <c r="A227" s="92">
        <v>43160</v>
      </c>
      <c r="C227" s="1" t="s">
        <v>56</v>
      </c>
      <c r="E227" s="98" t="s">
        <v>207</v>
      </c>
      <c r="F227" s="1" t="s">
        <v>208</v>
      </c>
      <c r="G227" s="1" t="s">
        <v>2115</v>
      </c>
      <c r="H227" s="1">
        <v>0.5</v>
      </c>
      <c r="I227" s="1" t="s">
        <v>185</v>
      </c>
      <c r="J227" s="1">
        <v>0.15</v>
      </c>
      <c r="K227" s="1" t="s">
        <v>209</v>
      </c>
      <c r="L227" s="1" t="s">
        <v>131</v>
      </c>
      <c r="M227" s="1" t="s">
        <v>132</v>
      </c>
      <c r="N227" s="1" t="s">
        <v>72</v>
      </c>
      <c r="O227" s="1" t="s">
        <v>64</v>
      </c>
      <c r="P227" s="1" t="s">
        <v>133</v>
      </c>
      <c r="R227" s="93">
        <v>43160</v>
      </c>
      <c r="S227" s="93" t="s">
        <v>2703</v>
      </c>
    </row>
    <row r="228" spans="1:19">
      <c r="A228" s="92">
        <v>43160</v>
      </c>
      <c r="C228" s="1" t="s">
        <v>56</v>
      </c>
      <c r="E228" s="98" t="s">
        <v>210</v>
      </c>
      <c r="F228" s="1" t="s">
        <v>211</v>
      </c>
      <c r="G228" s="1" t="s">
        <v>2116</v>
      </c>
      <c r="H228" s="1">
        <v>8</v>
      </c>
      <c r="I228" s="1" t="s">
        <v>185</v>
      </c>
      <c r="J228" s="1">
        <v>2.4</v>
      </c>
      <c r="K228" s="1" t="s">
        <v>212</v>
      </c>
      <c r="L228" s="1" t="s">
        <v>150</v>
      </c>
      <c r="M228" s="1" t="s">
        <v>132</v>
      </c>
      <c r="N228" s="1" t="s">
        <v>72</v>
      </c>
      <c r="O228" s="1" t="s">
        <v>64</v>
      </c>
      <c r="P228" s="1" t="s">
        <v>133</v>
      </c>
      <c r="R228" s="93">
        <v>43160</v>
      </c>
      <c r="S228" s="93" t="s">
        <v>2703</v>
      </c>
    </row>
    <row r="229" spans="1:19">
      <c r="A229" s="92">
        <v>43160</v>
      </c>
      <c r="C229" s="1" t="s">
        <v>66</v>
      </c>
      <c r="E229" s="98" t="s">
        <v>122</v>
      </c>
      <c r="F229" s="1" t="s">
        <v>123</v>
      </c>
      <c r="G229" s="1" t="s">
        <v>2094</v>
      </c>
      <c r="H229" s="1">
        <v>2</v>
      </c>
      <c r="I229" s="1" t="s">
        <v>185</v>
      </c>
      <c r="J229" s="1">
        <v>0.6</v>
      </c>
      <c r="K229" s="1" t="s">
        <v>124</v>
      </c>
      <c r="L229" s="1" t="s">
        <v>117</v>
      </c>
      <c r="M229" s="1" t="s">
        <v>2661</v>
      </c>
      <c r="N229" s="1" t="s">
        <v>72</v>
      </c>
      <c r="O229" s="1" t="s">
        <v>64</v>
      </c>
      <c r="P229" s="1" t="s">
        <v>53</v>
      </c>
      <c r="R229" s="93">
        <v>43160</v>
      </c>
      <c r="S229" s="93" t="s">
        <v>2703</v>
      </c>
    </row>
    <row r="230" spans="1:19">
      <c r="A230" s="92">
        <v>43160</v>
      </c>
      <c r="C230" s="1" t="s">
        <v>66</v>
      </c>
      <c r="E230" s="98" t="s">
        <v>213</v>
      </c>
      <c r="F230" s="1" t="s">
        <v>214</v>
      </c>
      <c r="G230" s="1" t="s">
        <v>2117</v>
      </c>
      <c r="H230" s="1">
        <v>0.4</v>
      </c>
      <c r="I230" s="1" t="s">
        <v>185</v>
      </c>
      <c r="J230" s="1">
        <v>0.12</v>
      </c>
      <c r="K230" s="1" t="s">
        <v>215</v>
      </c>
      <c r="L230" s="1" t="s">
        <v>216</v>
      </c>
      <c r="M230" s="1" t="s">
        <v>52</v>
      </c>
      <c r="N230" s="1" t="s">
        <v>63</v>
      </c>
      <c r="O230" s="1" t="s">
        <v>64</v>
      </c>
      <c r="P230" s="1" t="s">
        <v>111</v>
      </c>
      <c r="R230" s="93">
        <v>43160</v>
      </c>
      <c r="S230" s="93" t="s">
        <v>2703</v>
      </c>
    </row>
    <row r="231" spans="1:19">
      <c r="A231" s="92">
        <v>43160</v>
      </c>
      <c r="C231" s="1" t="s">
        <v>66</v>
      </c>
      <c r="E231" s="98" t="s">
        <v>217</v>
      </c>
      <c r="F231" s="1" t="s">
        <v>218</v>
      </c>
      <c r="G231" s="1" t="s">
        <v>2118</v>
      </c>
      <c r="H231" s="1">
        <v>4</v>
      </c>
      <c r="I231" s="1" t="s">
        <v>185</v>
      </c>
      <c r="J231" s="1">
        <v>1.2</v>
      </c>
      <c r="K231" s="1" t="s">
        <v>219</v>
      </c>
      <c r="L231" s="1" t="s">
        <v>70</v>
      </c>
      <c r="M231" s="1" t="s">
        <v>71</v>
      </c>
      <c r="N231" s="1" t="s">
        <v>72</v>
      </c>
      <c r="O231" s="1" t="s">
        <v>64</v>
      </c>
      <c r="P231" s="1" t="s">
        <v>73</v>
      </c>
      <c r="R231" s="93">
        <v>43160</v>
      </c>
      <c r="S231" s="93" t="s">
        <v>2703</v>
      </c>
    </row>
    <row r="232" spans="1:19">
      <c r="A232" s="92">
        <v>43160</v>
      </c>
      <c r="C232" s="1" t="s">
        <v>56</v>
      </c>
      <c r="E232" s="98" t="s">
        <v>220</v>
      </c>
      <c r="F232" s="1" t="s">
        <v>221</v>
      </c>
      <c r="G232" s="1" t="s">
        <v>2119</v>
      </c>
      <c r="H232" s="1">
        <v>1</v>
      </c>
      <c r="I232" s="1" t="s">
        <v>185</v>
      </c>
      <c r="J232" s="1">
        <v>0.3</v>
      </c>
      <c r="K232" s="1" t="s">
        <v>93</v>
      </c>
      <c r="L232" s="1" t="s">
        <v>93</v>
      </c>
      <c r="M232" s="1" t="s">
        <v>94</v>
      </c>
      <c r="N232" s="1" t="s">
        <v>72</v>
      </c>
      <c r="O232" s="1" t="s">
        <v>64</v>
      </c>
      <c r="P232" s="1" t="s">
        <v>95</v>
      </c>
      <c r="R232" s="93">
        <v>43160</v>
      </c>
      <c r="S232" s="93" t="s">
        <v>2703</v>
      </c>
    </row>
    <row r="233" spans="1:19">
      <c r="A233" s="92">
        <v>43161</v>
      </c>
      <c r="C233" s="1" t="s">
        <v>56</v>
      </c>
      <c r="E233" s="98" t="s">
        <v>224</v>
      </c>
      <c r="F233" s="1" t="s">
        <v>225</v>
      </c>
      <c r="G233" s="1" t="s">
        <v>2120</v>
      </c>
      <c r="H233" s="1">
        <v>0.08</v>
      </c>
      <c r="I233" s="1" t="s">
        <v>185</v>
      </c>
      <c r="J233" s="1">
        <v>2.4E-2</v>
      </c>
      <c r="K233" s="1" t="s">
        <v>226</v>
      </c>
      <c r="L233" s="1" t="s">
        <v>117</v>
      </c>
      <c r="M233" s="1" t="s">
        <v>2661</v>
      </c>
      <c r="N233" s="1" t="s">
        <v>72</v>
      </c>
      <c r="O233" s="1" t="s">
        <v>64</v>
      </c>
      <c r="P233" s="1" t="s">
        <v>53</v>
      </c>
      <c r="R233" s="93">
        <v>43161</v>
      </c>
      <c r="S233" s="93" t="s">
        <v>2703</v>
      </c>
    </row>
    <row r="234" spans="1:19">
      <c r="A234" s="92">
        <v>43161</v>
      </c>
      <c r="C234" s="1" t="s">
        <v>56</v>
      </c>
      <c r="E234" s="98" t="s">
        <v>227</v>
      </c>
      <c r="F234" s="1" t="s">
        <v>228</v>
      </c>
      <c r="G234" s="1" t="s">
        <v>2121</v>
      </c>
      <c r="H234" s="1">
        <v>5</v>
      </c>
      <c r="I234" s="1" t="s">
        <v>185</v>
      </c>
      <c r="J234" s="1">
        <v>1.5</v>
      </c>
      <c r="K234" s="1" t="s">
        <v>144</v>
      </c>
      <c r="L234" s="1" t="s">
        <v>93</v>
      </c>
      <c r="M234" s="1" t="s">
        <v>94</v>
      </c>
      <c r="N234" s="1" t="s">
        <v>72</v>
      </c>
      <c r="O234" s="1" t="s">
        <v>64</v>
      </c>
      <c r="P234" s="1" t="s">
        <v>95</v>
      </c>
      <c r="R234" s="93">
        <v>43161</v>
      </c>
      <c r="S234" s="93" t="s">
        <v>2703</v>
      </c>
    </row>
    <row r="235" spans="1:19">
      <c r="A235" s="92">
        <v>43161</v>
      </c>
      <c r="C235" s="1" t="s">
        <v>66</v>
      </c>
      <c r="E235" s="98" t="s">
        <v>229</v>
      </c>
      <c r="F235" s="1" t="s">
        <v>230</v>
      </c>
      <c r="G235" s="1" t="s">
        <v>2122</v>
      </c>
      <c r="H235" s="1">
        <v>1</v>
      </c>
      <c r="I235" s="1" t="s">
        <v>231</v>
      </c>
      <c r="J235" s="1">
        <v>0.3</v>
      </c>
      <c r="K235" s="1" t="s">
        <v>84</v>
      </c>
      <c r="L235" s="1" t="s">
        <v>85</v>
      </c>
      <c r="M235" s="1" t="s">
        <v>71</v>
      </c>
      <c r="N235" s="1" t="s">
        <v>72</v>
      </c>
      <c r="O235" s="1" t="s">
        <v>64</v>
      </c>
      <c r="P235" s="1" t="s">
        <v>73</v>
      </c>
      <c r="R235" s="93">
        <v>43161</v>
      </c>
      <c r="S235" s="93" t="s">
        <v>2703</v>
      </c>
    </row>
    <row r="236" spans="1:19">
      <c r="A236" s="92">
        <v>43161</v>
      </c>
      <c r="C236" s="1" t="s">
        <v>66</v>
      </c>
      <c r="E236" s="98" t="s">
        <v>232</v>
      </c>
      <c r="F236" s="1" t="s">
        <v>233</v>
      </c>
      <c r="G236" s="1" t="s">
        <v>2123</v>
      </c>
      <c r="H236" s="1">
        <v>0.01</v>
      </c>
      <c r="I236" s="1" t="s">
        <v>231</v>
      </c>
      <c r="J236" s="1">
        <v>3.0000000000000001E-3</v>
      </c>
      <c r="K236" s="1" t="s">
        <v>234</v>
      </c>
      <c r="L236" s="1" t="s">
        <v>131</v>
      </c>
      <c r="M236" s="1" t="s">
        <v>132</v>
      </c>
      <c r="N236" s="1" t="s">
        <v>72</v>
      </c>
      <c r="O236" s="1" t="s">
        <v>64</v>
      </c>
      <c r="P236" s="1" t="s">
        <v>133</v>
      </c>
      <c r="R236" s="93">
        <v>43161</v>
      </c>
      <c r="S236" s="93" t="s">
        <v>2703</v>
      </c>
    </row>
    <row r="237" spans="1:19">
      <c r="A237" s="92">
        <v>43161</v>
      </c>
      <c r="C237" s="1" t="s">
        <v>56</v>
      </c>
      <c r="E237" s="98" t="s">
        <v>235</v>
      </c>
      <c r="F237" s="1" t="s">
        <v>236</v>
      </c>
      <c r="G237" s="1" t="s">
        <v>2124</v>
      </c>
      <c r="H237" s="1">
        <v>11</v>
      </c>
      <c r="I237" s="1" t="s">
        <v>231</v>
      </c>
      <c r="J237" s="1">
        <v>3.3</v>
      </c>
      <c r="K237" s="1" t="s">
        <v>70</v>
      </c>
      <c r="L237" s="1" t="s">
        <v>70</v>
      </c>
      <c r="M237" s="1" t="s">
        <v>71</v>
      </c>
      <c r="N237" s="1" t="s">
        <v>72</v>
      </c>
      <c r="O237" s="1" t="s">
        <v>64</v>
      </c>
      <c r="P237" s="1" t="s">
        <v>73</v>
      </c>
      <c r="R237" s="93">
        <v>43161</v>
      </c>
      <c r="S237" s="93" t="s">
        <v>2703</v>
      </c>
    </row>
    <row r="238" spans="1:19">
      <c r="A238" s="92">
        <v>43161</v>
      </c>
      <c r="C238" s="1" t="s">
        <v>56</v>
      </c>
      <c r="E238" s="98" t="s">
        <v>235</v>
      </c>
      <c r="F238" s="1" t="s">
        <v>236</v>
      </c>
      <c r="G238" s="1" t="s">
        <v>2124</v>
      </c>
      <c r="H238" s="1">
        <v>0.6</v>
      </c>
      <c r="I238" s="1" t="s">
        <v>231</v>
      </c>
      <c r="J238" s="1">
        <v>0.18</v>
      </c>
      <c r="K238" s="1" t="s">
        <v>70</v>
      </c>
      <c r="L238" s="1" t="s">
        <v>70</v>
      </c>
      <c r="M238" s="1" t="s">
        <v>71</v>
      </c>
      <c r="N238" s="1" t="s">
        <v>72</v>
      </c>
      <c r="O238" s="1" t="s">
        <v>64</v>
      </c>
      <c r="P238" s="1" t="s">
        <v>73</v>
      </c>
      <c r="R238" s="93">
        <v>43161</v>
      </c>
      <c r="S238" s="93" t="s">
        <v>2703</v>
      </c>
    </row>
    <row r="239" spans="1:19">
      <c r="A239" s="92">
        <v>43161</v>
      </c>
      <c r="C239" s="1" t="s">
        <v>56</v>
      </c>
      <c r="E239" s="98" t="s">
        <v>237</v>
      </c>
      <c r="F239" s="1" t="s">
        <v>238</v>
      </c>
      <c r="G239" s="1" t="s">
        <v>2125</v>
      </c>
      <c r="H239" s="1">
        <v>2</v>
      </c>
      <c r="I239" s="1" t="s">
        <v>231</v>
      </c>
      <c r="J239" s="1">
        <v>0.6</v>
      </c>
      <c r="K239" s="1" t="s">
        <v>239</v>
      </c>
      <c r="L239" s="1" t="s">
        <v>150</v>
      </c>
      <c r="M239" s="1" t="s">
        <v>132</v>
      </c>
      <c r="N239" s="1" t="s">
        <v>72</v>
      </c>
      <c r="O239" s="1" t="s">
        <v>64</v>
      </c>
      <c r="P239" s="1" t="s">
        <v>133</v>
      </c>
      <c r="R239" s="93">
        <v>43161</v>
      </c>
      <c r="S239" s="93" t="s">
        <v>2703</v>
      </c>
    </row>
    <row r="240" spans="1:19">
      <c r="A240" s="92">
        <v>43161</v>
      </c>
      <c r="C240" s="1" t="s">
        <v>56</v>
      </c>
      <c r="E240" s="98" t="s">
        <v>240</v>
      </c>
      <c r="F240" s="1" t="s">
        <v>241</v>
      </c>
      <c r="G240" s="1" t="s">
        <v>2126</v>
      </c>
      <c r="H240" s="1">
        <v>2</v>
      </c>
      <c r="I240" s="1" t="s">
        <v>231</v>
      </c>
      <c r="J240" s="1">
        <v>0.6</v>
      </c>
      <c r="K240" s="1" t="s">
        <v>242</v>
      </c>
      <c r="L240" s="1" t="s">
        <v>93</v>
      </c>
      <c r="M240" s="1" t="s">
        <v>94</v>
      </c>
      <c r="N240" s="1" t="s">
        <v>72</v>
      </c>
      <c r="O240" s="1" t="s">
        <v>64</v>
      </c>
      <c r="P240" s="1" t="s">
        <v>95</v>
      </c>
      <c r="R240" s="93">
        <v>43161</v>
      </c>
      <c r="S240" s="93" t="s">
        <v>2703</v>
      </c>
    </row>
    <row r="241" spans="1:19">
      <c r="A241" s="92">
        <v>43161</v>
      </c>
      <c r="C241" s="1" t="s">
        <v>56</v>
      </c>
      <c r="E241" s="98" t="s">
        <v>243</v>
      </c>
      <c r="F241" s="1" t="s">
        <v>244</v>
      </c>
      <c r="G241" s="1" t="s">
        <v>2000</v>
      </c>
      <c r="H241" s="1">
        <v>1.8</v>
      </c>
      <c r="I241" s="1" t="s">
        <v>231</v>
      </c>
      <c r="J241" s="1">
        <v>0.54</v>
      </c>
      <c r="K241" s="1" t="s">
        <v>136</v>
      </c>
      <c r="L241" s="1" t="s">
        <v>85</v>
      </c>
      <c r="M241" s="1" t="s">
        <v>71</v>
      </c>
      <c r="N241" s="1" t="s">
        <v>72</v>
      </c>
      <c r="O241" s="1" t="s">
        <v>64</v>
      </c>
      <c r="P241" s="1" t="s">
        <v>73</v>
      </c>
      <c r="R241" s="93">
        <v>43161</v>
      </c>
      <c r="S241" s="93" t="s">
        <v>2703</v>
      </c>
    </row>
    <row r="242" spans="1:19">
      <c r="A242" s="92">
        <v>43161</v>
      </c>
      <c r="C242" s="1" t="s">
        <v>56</v>
      </c>
      <c r="E242" s="98" t="s">
        <v>240</v>
      </c>
      <c r="F242" s="1" t="s">
        <v>241</v>
      </c>
      <c r="G242" s="1" t="s">
        <v>2126</v>
      </c>
      <c r="H242" s="1">
        <v>3</v>
      </c>
      <c r="I242" s="1" t="s">
        <v>231</v>
      </c>
      <c r="J242" s="1">
        <v>0.9</v>
      </c>
      <c r="K242" s="1" t="s">
        <v>242</v>
      </c>
      <c r="L242" s="1" t="s">
        <v>93</v>
      </c>
      <c r="M242" s="1" t="s">
        <v>94</v>
      </c>
      <c r="N242" s="1" t="s">
        <v>72</v>
      </c>
      <c r="O242" s="1" t="s">
        <v>64</v>
      </c>
      <c r="P242" s="1" t="s">
        <v>95</v>
      </c>
      <c r="R242" s="93">
        <v>43161</v>
      </c>
      <c r="S242" s="93" t="s">
        <v>2703</v>
      </c>
    </row>
    <row r="243" spans="1:19">
      <c r="A243" s="92">
        <v>43161</v>
      </c>
      <c r="C243" s="1" t="s">
        <v>56</v>
      </c>
      <c r="E243" s="98" t="s">
        <v>246</v>
      </c>
      <c r="F243" s="1" t="s">
        <v>247</v>
      </c>
      <c r="G243" s="1" t="s">
        <v>2127</v>
      </c>
      <c r="H243" s="1">
        <v>7.28</v>
      </c>
      <c r="I243" s="1" t="s">
        <v>231</v>
      </c>
      <c r="J243" s="1">
        <v>2.1840000000000002</v>
      </c>
      <c r="K243" s="1" t="s">
        <v>247</v>
      </c>
      <c r="L243" s="1" t="s">
        <v>102</v>
      </c>
      <c r="M243" s="1" t="s">
        <v>94</v>
      </c>
      <c r="N243" s="1" t="s">
        <v>72</v>
      </c>
      <c r="O243" s="1" t="s">
        <v>64</v>
      </c>
      <c r="P243" s="1" t="s">
        <v>95</v>
      </c>
      <c r="R243" s="93">
        <v>43161</v>
      </c>
      <c r="S243" s="93" t="s">
        <v>2703</v>
      </c>
    </row>
    <row r="244" spans="1:19">
      <c r="A244" s="92">
        <v>43161</v>
      </c>
      <c r="C244" s="1" t="s">
        <v>56</v>
      </c>
      <c r="E244" s="98" t="s">
        <v>248</v>
      </c>
      <c r="F244" s="1" t="s">
        <v>249</v>
      </c>
      <c r="G244" s="1" t="s">
        <v>2128</v>
      </c>
      <c r="H244" s="1">
        <v>0.5</v>
      </c>
      <c r="I244" s="1" t="s">
        <v>231</v>
      </c>
      <c r="J244" s="1">
        <v>0.15</v>
      </c>
      <c r="K244" s="1" t="s">
        <v>93</v>
      </c>
      <c r="L244" s="1" t="s">
        <v>93</v>
      </c>
      <c r="M244" s="1" t="s">
        <v>94</v>
      </c>
      <c r="N244" s="1" t="s">
        <v>72</v>
      </c>
      <c r="O244" s="1" t="s">
        <v>64</v>
      </c>
      <c r="P244" s="1" t="s">
        <v>95</v>
      </c>
      <c r="R244" s="93">
        <v>43161</v>
      </c>
      <c r="S244" s="93" t="s">
        <v>2703</v>
      </c>
    </row>
    <row r="245" spans="1:19">
      <c r="A245" s="92">
        <v>43161</v>
      </c>
      <c r="C245" s="1" t="s">
        <v>56</v>
      </c>
      <c r="E245" s="98" t="s">
        <v>250</v>
      </c>
      <c r="F245" s="1" t="s">
        <v>251</v>
      </c>
      <c r="G245" s="1" t="s">
        <v>2129</v>
      </c>
      <c r="H245" s="1">
        <v>2</v>
      </c>
      <c r="I245" s="1" t="s">
        <v>231</v>
      </c>
      <c r="J245" s="1">
        <v>0.6</v>
      </c>
      <c r="K245" s="1" t="s">
        <v>252</v>
      </c>
      <c r="L245" s="1" t="s">
        <v>253</v>
      </c>
      <c r="M245" s="1" t="s">
        <v>94</v>
      </c>
      <c r="N245" s="1" t="s">
        <v>72</v>
      </c>
      <c r="O245" s="1" t="s">
        <v>64</v>
      </c>
      <c r="P245" s="1" t="s">
        <v>95</v>
      </c>
      <c r="R245" s="93">
        <v>43161</v>
      </c>
      <c r="S245" s="93" t="s">
        <v>2703</v>
      </c>
    </row>
    <row r="246" spans="1:19">
      <c r="A246" s="92">
        <v>43161</v>
      </c>
      <c r="C246" s="1" t="s">
        <v>56</v>
      </c>
      <c r="E246" s="98" t="s">
        <v>235</v>
      </c>
      <c r="F246" s="1" t="s">
        <v>236</v>
      </c>
      <c r="G246" s="1" t="s">
        <v>2124</v>
      </c>
      <c r="H246" s="1">
        <v>2.4</v>
      </c>
      <c r="I246" s="1" t="s">
        <v>231</v>
      </c>
      <c r="J246" s="1">
        <v>0.72</v>
      </c>
      <c r="K246" s="1" t="s">
        <v>70</v>
      </c>
      <c r="L246" s="1" t="s">
        <v>70</v>
      </c>
      <c r="M246" s="1" t="s">
        <v>71</v>
      </c>
      <c r="N246" s="1" t="s">
        <v>72</v>
      </c>
      <c r="O246" s="1" t="s">
        <v>64</v>
      </c>
      <c r="P246" s="1" t="s">
        <v>73</v>
      </c>
      <c r="R246" s="93">
        <v>43161</v>
      </c>
      <c r="S246" s="93" t="s">
        <v>2703</v>
      </c>
    </row>
    <row r="247" spans="1:19">
      <c r="A247" s="92">
        <v>43161</v>
      </c>
      <c r="C247" s="1" t="s">
        <v>56</v>
      </c>
      <c r="E247" s="98" t="s">
        <v>254</v>
      </c>
      <c r="F247" s="1" t="s">
        <v>255</v>
      </c>
      <c r="G247" s="1" t="s">
        <v>2041</v>
      </c>
      <c r="H247" s="1">
        <v>1.52</v>
      </c>
      <c r="I247" s="1" t="s">
        <v>231</v>
      </c>
      <c r="J247" s="1">
        <v>0.45600000000000002</v>
      </c>
      <c r="K247" s="1" t="s">
        <v>150</v>
      </c>
      <c r="L247" s="1" t="s">
        <v>150</v>
      </c>
      <c r="M247" s="1" t="s">
        <v>132</v>
      </c>
      <c r="N247" s="1" t="s">
        <v>72</v>
      </c>
      <c r="O247" s="1" t="s">
        <v>64</v>
      </c>
      <c r="P247" s="1" t="s">
        <v>133</v>
      </c>
      <c r="R247" s="93">
        <v>43161</v>
      </c>
      <c r="S247" s="93" t="s">
        <v>2703</v>
      </c>
    </row>
    <row r="248" spans="1:19">
      <c r="A248" s="92">
        <v>43161</v>
      </c>
      <c r="C248" s="1" t="s">
        <v>56</v>
      </c>
      <c r="E248" s="98" t="s">
        <v>256</v>
      </c>
      <c r="F248" s="1" t="s">
        <v>257</v>
      </c>
      <c r="G248" s="1" t="s">
        <v>2130</v>
      </c>
      <c r="H248" s="1">
        <v>6.65</v>
      </c>
      <c r="I248" s="1" t="s">
        <v>231</v>
      </c>
      <c r="J248" s="1">
        <v>1.9950000000000001</v>
      </c>
      <c r="K248" s="1" t="s">
        <v>167</v>
      </c>
      <c r="L248" s="1" t="s">
        <v>117</v>
      </c>
      <c r="M248" s="1" t="s">
        <v>2661</v>
      </c>
      <c r="N248" s="1" t="s">
        <v>72</v>
      </c>
      <c r="O248" s="1" t="s">
        <v>64</v>
      </c>
      <c r="P248" s="1" t="s">
        <v>53</v>
      </c>
      <c r="R248" s="93">
        <v>43161</v>
      </c>
      <c r="S248" s="93" t="s">
        <v>2703</v>
      </c>
    </row>
    <row r="249" spans="1:19">
      <c r="A249" s="92">
        <v>43161</v>
      </c>
      <c r="C249" s="1" t="s">
        <v>56</v>
      </c>
      <c r="E249" s="98" t="s">
        <v>258</v>
      </c>
      <c r="F249" s="1" t="s">
        <v>259</v>
      </c>
      <c r="G249" s="1" t="s">
        <v>2131</v>
      </c>
      <c r="H249" s="1">
        <v>8</v>
      </c>
      <c r="I249" s="1" t="s">
        <v>260</v>
      </c>
      <c r="J249" s="1">
        <v>12</v>
      </c>
      <c r="K249" s="1" t="s">
        <v>127</v>
      </c>
      <c r="L249" s="1" t="s">
        <v>110</v>
      </c>
      <c r="M249" s="1" t="s">
        <v>52</v>
      </c>
      <c r="N249" s="1" t="s">
        <v>63</v>
      </c>
      <c r="O249" s="1" t="s">
        <v>64</v>
      </c>
      <c r="P249" s="1" t="s">
        <v>111</v>
      </c>
      <c r="R249" s="93">
        <v>43161</v>
      </c>
      <c r="S249" s="93" t="s">
        <v>2702</v>
      </c>
    </row>
    <row r="250" spans="1:19">
      <c r="A250" s="92">
        <v>43161</v>
      </c>
      <c r="C250" s="1" t="s">
        <v>66</v>
      </c>
      <c r="E250" s="98" t="s">
        <v>232</v>
      </c>
      <c r="F250" s="1" t="s">
        <v>233</v>
      </c>
      <c r="G250" s="1" t="s">
        <v>2123</v>
      </c>
      <c r="H250" s="1">
        <v>6</v>
      </c>
      <c r="I250" s="1" t="s">
        <v>261</v>
      </c>
      <c r="J250" s="1">
        <v>6</v>
      </c>
      <c r="K250" s="1" t="s">
        <v>234</v>
      </c>
      <c r="L250" s="1" t="s">
        <v>131</v>
      </c>
      <c r="M250" s="1" t="s">
        <v>132</v>
      </c>
      <c r="N250" s="1" t="s">
        <v>72</v>
      </c>
      <c r="O250" s="1" t="s">
        <v>64</v>
      </c>
      <c r="P250" s="1" t="s">
        <v>133</v>
      </c>
      <c r="R250" s="93">
        <v>43161</v>
      </c>
      <c r="S250" s="93" t="s">
        <v>2700</v>
      </c>
    </row>
    <row r="251" spans="1:19">
      <c r="A251" s="92">
        <v>43161</v>
      </c>
      <c r="C251" s="1" t="s">
        <v>66</v>
      </c>
      <c r="E251" s="98" t="s">
        <v>262</v>
      </c>
      <c r="F251" s="1" t="s">
        <v>263</v>
      </c>
      <c r="G251" s="1" t="s">
        <v>2132</v>
      </c>
      <c r="H251" s="1">
        <v>0.02</v>
      </c>
      <c r="I251" s="1" t="s">
        <v>264</v>
      </c>
      <c r="J251" s="1">
        <v>1.2E-2</v>
      </c>
      <c r="K251" s="1" t="s">
        <v>234</v>
      </c>
      <c r="L251" s="1" t="s">
        <v>131</v>
      </c>
      <c r="M251" s="1" t="s">
        <v>132</v>
      </c>
      <c r="N251" s="1" t="s">
        <v>72</v>
      </c>
      <c r="O251" s="1" t="s">
        <v>64</v>
      </c>
      <c r="P251" s="1" t="s">
        <v>133</v>
      </c>
      <c r="R251" s="93">
        <v>43161</v>
      </c>
      <c r="S251" s="93" t="s">
        <v>2701</v>
      </c>
    </row>
    <row r="252" spans="1:19">
      <c r="A252" s="92">
        <v>43161</v>
      </c>
      <c r="C252" s="1" t="s">
        <v>56</v>
      </c>
      <c r="E252" s="98" t="s">
        <v>265</v>
      </c>
      <c r="F252" s="1" t="s">
        <v>266</v>
      </c>
      <c r="G252" s="1" t="s">
        <v>2133</v>
      </c>
      <c r="H252" s="1">
        <v>11</v>
      </c>
      <c r="I252" s="1" t="s">
        <v>267</v>
      </c>
      <c r="J252" s="1">
        <v>11</v>
      </c>
      <c r="K252" s="1" t="s">
        <v>268</v>
      </c>
      <c r="L252" s="1" t="s">
        <v>269</v>
      </c>
      <c r="M252" s="1" t="s">
        <v>132</v>
      </c>
      <c r="N252" s="1" t="s">
        <v>72</v>
      </c>
      <c r="O252" s="1" t="s">
        <v>64</v>
      </c>
      <c r="P252" s="1" t="s">
        <v>133</v>
      </c>
      <c r="R252" s="93">
        <v>43161</v>
      </c>
      <c r="S252" s="93" t="s">
        <v>2700</v>
      </c>
    </row>
    <row r="253" spans="1:19">
      <c r="A253" s="92">
        <v>43161</v>
      </c>
      <c r="C253" s="1" t="s">
        <v>56</v>
      </c>
      <c r="E253" s="98" t="s">
        <v>270</v>
      </c>
      <c r="F253" s="1" t="s">
        <v>271</v>
      </c>
      <c r="G253" s="1" t="s">
        <v>2134</v>
      </c>
      <c r="H253" s="1">
        <v>10</v>
      </c>
      <c r="I253" s="1" t="s">
        <v>267</v>
      </c>
      <c r="J253" s="1">
        <v>10</v>
      </c>
      <c r="K253" s="1" t="s">
        <v>105</v>
      </c>
      <c r="L253" s="1" t="s">
        <v>105</v>
      </c>
      <c r="M253" s="1" t="s">
        <v>62</v>
      </c>
      <c r="N253" s="1" t="s">
        <v>63</v>
      </c>
      <c r="O253" s="1" t="s">
        <v>64</v>
      </c>
      <c r="P253" s="1" t="s">
        <v>65</v>
      </c>
      <c r="R253" s="93">
        <v>43161</v>
      </c>
      <c r="S253" s="93" t="s">
        <v>2700</v>
      </c>
    </row>
    <row r="254" spans="1:19">
      <c r="A254" s="92">
        <v>43161</v>
      </c>
      <c r="C254" s="1" t="s">
        <v>66</v>
      </c>
      <c r="E254" s="98" t="s">
        <v>272</v>
      </c>
      <c r="F254" s="1" t="s">
        <v>273</v>
      </c>
      <c r="G254" s="1" t="s">
        <v>2135</v>
      </c>
      <c r="H254" s="1">
        <v>11</v>
      </c>
      <c r="I254" s="1" t="s">
        <v>267</v>
      </c>
      <c r="J254" s="1">
        <v>11</v>
      </c>
      <c r="K254" s="1" t="s">
        <v>274</v>
      </c>
      <c r="L254" s="1" t="s">
        <v>216</v>
      </c>
      <c r="M254" s="1" t="s">
        <v>52</v>
      </c>
      <c r="N254" s="1" t="s">
        <v>63</v>
      </c>
      <c r="O254" s="1" t="s">
        <v>64</v>
      </c>
      <c r="P254" s="1" t="s">
        <v>111</v>
      </c>
      <c r="R254" s="93">
        <v>43161</v>
      </c>
      <c r="S254" s="93" t="s">
        <v>2700</v>
      </c>
    </row>
    <row r="255" spans="1:19">
      <c r="A255" s="92">
        <v>43161</v>
      </c>
      <c r="C255" s="1" t="s">
        <v>56</v>
      </c>
      <c r="E255" s="98" t="s">
        <v>275</v>
      </c>
      <c r="F255" s="1" t="s">
        <v>276</v>
      </c>
      <c r="G255" s="1" t="s">
        <v>2136</v>
      </c>
      <c r="H255" s="1">
        <v>1</v>
      </c>
      <c r="I255" s="1" t="s">
        <v>267</v>
      </c>
      <c r="J255" s="1">
        <v>1</v>
      </c>
      <c r="K255" s="1" t="s">
        <v>277</v>
      </c>
      <c r="L255" s="1" t="s">
        <v>269</v>
      </c>
      <c r="M255" s="1" t="s">
        <v>132</v>
      </c>
      <c r="N255" s="1" t="s">
        <v>72</v>
      </c>
      <c r="O255" s="1" t="s">
        <v>64</v>
      </c>
      <c r="P255" s="1" t="s">
        <v>133</v>
      </c>
      <c r="R255" s="93">
        <v>43161</v>
      </c>
      <c r="S255" s="93" t="s">
        <v>2700</v>
      </c>
    </row>
    <row r="256" spans="1:19">
      <c r="A256" s="92">
        <v>43161</v>
      </c>
      <c r="C256" s="1" t="s">
        <v>56</v>
      </c>
      <c r="E256" s="98" t="s">
        <v>278</v>
      </c>
      <c r="F256" s="1" t="s">
        <v>279</v>
      </c>
      <c r="G256" s="1" t="s">
        <v>2137</v>
      </c>
      <c r="H256" s="1">
        <v>10</v>
      </c>
      <c r="I256" s="1" t="s">
        <v>267</v>
      </c>
      <c r="J256" s="1">
        <v>10</v>
      </c>
      <c r="K256" s="1" t="s">
        <v>280</v>
      </c>
      <c r="L256" s="1" t="s">
        <v>281</v>
      </c>
      <c r="M256" s="1" t="s">
        <v>71</v>
      </c>
      <c r="N256" s="1" t="s">
        <v>72</v>
      </c>
      <c r="O256" s="1" t="s">
        <v>64</v>
      </c>
      <c r="P256" s="1" t="s">
        <v>73</v>
      </c>
      <c r="R256" s="93">
        <v>43161</v>
      </c>
      <c r="S256" s="93" t="s">
        <v>2700</v>
      </c>
    </row>
    <row r="257" spans="1:19">
      <c r="A257" s="92">
        <v>43161</v>
      </c>
      <c r="C257" s="1" t="s">
        <v>56</v>
      </c>
      <c r="E257" s="98" t="s">
        <v>270</v>
      </c>
      <c r="F257" s="1" t="s">
        <v>271</v>
      </c>
      <c r="G257" s="1" t="s">
        <v>2134</v>
      </c>
      <c r="H257" s="1">
        <v>0.88</v>
      </c>
      <c r="I257" s="1" t="s">
        <v>267</v>
      </c>
      <c r="J257" s="1">
        <v>0.88</v>
      </c>
      <c r="K257" s="1" t="s">
        <v>105</v>
      </c>
      <c r="L257" s="1" t="s">
        <v>105</v>
      </c>
      <c r="M257" s="1" t="s">
        <v>62</v>
      </c>
      <c r="N257" s="1" t="s">
        <v>63</v>
      </c>
      <c r="O257" s="1" t="s">
        <v>64</v>
      </c>
      <c r="P257" s="1" t="s">
        <v>65</v>
      </c>
      <c r="R257" s="93">
        <v>43161</v>
      </c>
      <c r="S257" s="93" t="s">
        <v>2700</v>
      </c>
    </row>
    <row r="258" spans="1:19">
      <c r="A258" s="92">
        <v>43161</v>
      </c>
      <c r="C258" s="1" t="s">
        <v>56</v>
      </c>
      <c r="E258" s="98" t="s">
        <v>282</v>
      </c>
      <c r="F258" s="1" t="s">
        <v>155</v>
      </c>
      <c r="G258" s="1" t="s">
        <v>2138</v>
      </c>
      <c r="H258" s="1">
        <v>0.09</v>
      </c>
      <c r="I258" s="1" t="s">
        <v>267</v>
      </c>
      <c r="J258" s="1">
        <v>0.09</v>
      </c>
      <c r="K258" s="1" t="s">
        <v>155</v>
      </c>
      <c r="L258" s="1" t="s">
        <v>70</v>
      </c>
      <c r="M258" s="1" t="s">
        <v>71</v>
      </c>
      <c r="N258" s="1" t="s">
        <v>72</v>
      </c>
      <c r="O258" s="1" t="s">
        <v>64</v>
      </c>
      <c r="P258" s="1" t="s">
        <v>73</v>
      </c>
      <c r="R258" s="93">
        <v>43161</v>
      </c>
      <c r="S258" s="93" t="s">
        <v>2700</v>
      </c>
    </row>
    <row r="259" spans="1:19">
      <c r="A259" s="92">
        <v>43161</v>
      </c>
      <c r="C259" s="1" t="s">
        <v>56</v>
      </c>
      <c r="E259" s="98" t="s">
        <v>283</v>
      </c>
      <c r="F259" s="1" t="s">
        <v>284</v>
      </c>
      <c r="G259" s="1" t="s">
        <v>2139</v>
      </c>
      <c r="H259" s="1">
        <v>10.007944</v>
      </c>
      <c r="I259" s="1" t="s">
        <v>267</v>
      </c>
      <c r="J259" s="1">
        <v>10.007944</v>
      </c>
      <c r="K259" s="1" t="s">
        <v>149</v>
      </c>
      <c r="L259" s="1" t="s">
        <v>150</v>
      </c>
      <c r="M259" s="1" t="s">
        <v>132</v>
      </c>
      <c r="N259" s="1" t="s">
        <v>72</v>
      </c>
      <c r="O259" s="1" t="s">
        <v>64</v>
      </c>
      <c r="P259" s="1" t="s">
        <v>133</v>
      </c>
      <c r="R259" s="93">
        <v>43161</v>
      </c>
      <c r="S259" s="93" t="s">
        <v>2700</v>
      </c>
    </row>
    <row r="260" spans="1:19">
      <c r="A260" s="92">
        <v>43161</v>
      </c>
      <c r="C260" s="1" t="s">
        <v>56</v>
      </c>
      <c r="E260" s="98" t="s">
        <v>275</v>
      </c>
      <c r="F260" s="1" t="s">
        <v>276</v>
      </c>
      <c r="G260" s="1" t="s">
        <v>2136</v>
      </c>
      <c r="H260" s="1">
        <v>2.0015890000000001</v>
      </c>
      <c r="I260" s="1" t="s">
        <v>267</v>
      </c>
      <c r="J260" s="1">
        <v>2.0015890000000001</v>
      </c>
      <c r="K260" s="1" t="s">
        <v>277</v>
      </c>
      <c r="L260" s="1" t="s">
        <v>269</v>
      </c>
      <c r="M260" s="1" t="s">
        <v>132</v>
      </c>
      <c r="N260" s="1" t="s">
        <v>72</v>
      </c>
      <c r="O260" s="1" t="s">
        <v>64</v>
      </c>
      <c r="P260" s="1" t="s">
        <v>133</v>
      </c>
      <c r="R260" s="93">
        <v>43161</v>
      </c>
      <c r="S260" s="93" t="s">
        <v>2700</v>
      </c>
    </row>
    <row r="261" spans="1:19">
      <c r="A261" s="92">
        <v>43161</v>
      </c>
      <c r="C261" s="1" t="s">
        <v>56</v>
      </c>
      <c r="E261" s="98" t="s">
        <v>285</v>
      </c>
      <c r="F261" s="1" t="s">
        <v>286</v>
      </c>
      <c r="G261" s="1" t="s">
        <v>2140</v>
      </c>
      <c r="H261" s="1">
        <v>5.65</v>
      </c>
      <c r="I261" s="1" t="s">
        <v>267</v>
      </c>
      <c r="J261" s="1">
        <v>5.65</v>
      </c>
      <c r="K261" s="1" t="s">
        <v>175</v>
      </c>
      <c r="L261" s="1" t="s">
        <v>131</v>
      </c>
      <c r="M261" s="1" t="s">
        <v>132</v>
      </c>
      <c r="N261" s="1" t="s">
        <v>72</v>
      </c>
      <c r="O261" s="1" t="s">
        <v>64</v>
      </c>
      <c r="P261" s="1" t="s">
        <v>133</v>
      </c>
      <c r="R261" s="93">
        <v>43161</v>
      </c>
      <c r="S261" s="93" t="s">
        <v>2700</v>
      </c>
    </row>
    <row r="262" spans="1:19">
      <c r="A262" s="92">
        <v>43161</v>
      </c>
      <c r="C262" s="1" t="s">
        <v>56</v>
      </c>
      <c r="E262" s="98" t="s">
        <v>287</v>
      </c>
      <c r="F262" s="1" t="s">
        <v>288</v>
      </c>
      <c r="G262" s="1" t="s">
        <v>2141</v>
      </c>
      <c r="H262" s="1">
        <v>5.65</v>
      </c>
      <c r="I262" s="1" t="s">
        <v>267</v>
      </c>
      <c r="J262" s="1">
        <v>5.65</v>
      </c>
      <c r="K262" s="1" t="s">
        <v>175</v>
      </c>
      <c r="L262" s="1" t="s">
        <v>131</v>
      </c>
      <c r="M262" s="1" t="s">
        <v>132</v>
      </c>
      <c r="N262" s="1" t="s">
        <v>72</v>
      </c>
      <c r="O262" s="1" t="s">
        <v>64</v>
      </c>
      <c r="P262" s="1" t="s">
        <v>133</v>
      </c>
      <c r="R262" s="93">
        <v>43161</v>
      </c>
      <c r="S262" s="93" t="s">
        <v>2700</v>
      </c>
    </row>
    <row r="263" spans="1:19">
      <c r="A263" s="92">
        <v>43161</v>
      </c>
      <c r="C263" s="1" t="s">
        <v>56</v>
      </c>
      <c r="E263" s="98" t="s">
        <v>289</v>
      </c>
      <c r="F263" s="1" t="s">
        <v>290</v>
      </c>
      <c r="G263" s="1" t="s">
        <v>2142</v>
      </c>
      <c r="H263" s="1">
        <v>10</v>
      </c>
      <c r="I263" s="1" t="s">
        <v>267</v>
      </c>
      <c r="J263" s="1">
        <v>10</v>
      </c>
      <c r="K263" s="1" t="s">
        <v>291</v>
      </c>
      <c r="L263" s="1" t="s">
        <v>85</v>
      </c>
      <c r="M263" s="1" t="s">
        <v>71</v>
      </c>
      <c r="N263" s="1" t="s">
        <v>72</v>
      </c>
      <c r="O263" s="1" t="s">
        <v>64</v>
      </c>
      <c r="P263" s="1" t="s">
        <v>73</v>
      </c>
      <c r="R263" s="93">
        <v>43161</v>
      </c>
      <c r="S263" s="93" t="s">
        <v>2700</v>
      </c>
    </row>
    <row r="264" spans="1:19">
      <c r="A264" s="92">
        <v>43161</v>
      </c>
      <c r="C264" s="1" t="s">
        <v>56</v>
      </c>
      <c r="E264" s="98" t="s">
        <v>292</v>
      </c>
      <c r="F264" s="1" t="s">
        <v>293</v>
      </c>
      <c r="G264" s="1" t="s">
        <v>2143</v>
      </c>
      <c r="H264" s="1">
        <v>6</v>
      </c>
      <c r="I264" s="1" t="s">
        <v>267</v>
      </c>
      <c r="J264" s="1">
        <v>6</v>
      </c>
      <c r="K264" s="1" t="s">
        <v>70</v>
      </c>
      <c r="L264" s="1" t="s">
        <v>70</v>
      </c>
      <c r="M264" s="1" t="s">
        <v>71</v>
      </c>
      <c r="N264" s="1" t="s">
        <v>72</v>
      </c>
      <c r="O264" s="1" t="s">
        <v>64</v>
      </c>
      <c r="P264" s="1" t="s">
        <v>73</v>
      </c>
      <c r="R264" s="93">
        <v>43161</v>
      </c>
      <c r="S264" s="93" t="s">
        <v>2700</v>
      </c>
    </row>
    <row r="265" spans="1:19">
      <c r="A265" s="92">
        <v>43161</v>
      </c>
      <c r="C265" s="1" t="s">
        <v>56</v>
      </c>
      <c r="E265" s="98" t="s">
        <v>294</v>
      </c>
      <c r="F265" s="1" t="s">
        <v>295</v>
      </c>
      <c r="G265" s="1" t="s">
        <v>2144</v>
      </c>
      <c r="H265" s="1">
        <v>11</v>
      </c>
      <c r="I265" s="1" t="s">
        <v>267</v>
      </c>
      <c r="J265" s="1">
        <v>11</v>
      </c>
      <c r="K265" s="1" t="s">
        <v>296</v>
      </c>
      <c r="L265" s="1" t="s">
        <v>93</v>
      </c>
      <c r="M265" s="1" t="s">
        <v>94</v>
      </c>
      <c r="N265" s="1" t="s">
        <v>72</v>
      </c>
      <c r="O265" s="1" t="s">
        <v>64</v>
      </c>
      <c r="P265" s="1" t="s">
        <v>95</v>
      </c>
      <c r="R265" s="93">
        <v>43161</v>
      </c>
      <c r="S265" s="93" t="s">
        <v>2700</v>
      </c>
    </row>
    <row r="266" spans="1:19">
      <c r="A266" s="92">
        <v>43161</v>
      </c>
      <c r="C266" s="1" t="s">
        <v>56</v>
      </c>
      <c r="E266" s="98" t="s">
        <v>297</v>
      </c>
      <c r="F266" s="1" t="s">
        <v>298</v>
      </c>
      <c r="G266" s="1" t="s">
        <v>2145</v>
      </c>
      <c r="H266" s="1">
        <v>5</v>
      </c>
      <c r="I266" s="1" t="s">
        <v>299</v>
      </c>
      <c r="J266" s="1">
        <v>5</v>
      </c>
      <c r="K266" s="1" t="s">
        <v>164</v>
      </c>
      <c r="L266" s="1" t="s">
        <v>93</v>
      </c>
      <c r="M266" s="1" t="s">
        <v>94</v>
      </c>
      <c r="N266" s="1" t="s">
        <v>72</v>
      </c>
      <c r="O266" s="1" t="s">
        <v>64</v>
      </c>
      <c r="P266" s="1" t="s">
        <v>95</v>
      </c>
      <c r="R266" s="93">
        <v>43161</v>
      </c>
      <c r="S266" s="93" t="s">
        <v>2704</v>
      </c>
    </row>
    <row r="267" spans="1:19">
      <c r="A267" s="92">
        <v>43161</v>
      </c>
      <c r="C267" s="1" t="s">
        <v>56</v>
      </c>
      <c r="E267" s="98" t="s">
        <v>162</v>
      </c>
      <c r="F267" s="1" t="s">
        <v>163</v>
      </c>
      <c r="G267" s="1" t="s">
        <v>2106</v>
      </c>
      <c r="H267" s="1">
        <v>20</v>
      </c>
      <c r="I267" s="1" t="s">
        <v>299</v>
      </c>
      <c r="J267" s="1">
        <v>20</v>
      </c>
      <c r="K267" s="1" t="s">
        <v>164</v>
      </c>
      <c r="L267" s="1" t="s">
        <v>93</v>
      </c>
      <c r="M267" s="1" t="s">
        <v>94</v>
      </c>
      <c r="N267" s="1" t="s">
        <v>72</v>
      </c>
      <c r="O267" s="1" t="s">
        <v>64</v>
      </c>
      <c r="P267" s="1" t="s">
        <v>95</v>
      </c>
      <c r="R267" s="93">
        <v>43161</v>
      </c>
      <c r="S267" s="93" t="s">
        <v>2704</v>
      </c>
    </row>
    <row r="268" spans="1:19">
      <c r="A268" s="92">
        <v>43161</v>
      </c>
      <c r="C268" s="1" t="s">
        <v>56</v>
      </c>
      <c r="E268" s="98" t="s">
        <v>300</v>
      </c>
      <c r="F268" s="1" t="s">
        <v>114</v>
      </c>
      <c r="G268" s="1" t="s">
        <v>2146</v>
      </c>
      <c r="H268" s="1">
        <v>1.5</v>
      </c>
      <c r="I268" s="1" t="s">
        <v>299</v>
      </c>
      <c r="J268" s="1">
        <v>1.5</v>
      </c>
      <c r="K268" s="1" t="s">
        <v>114</v>
      </c>
      <c r="L268" s="1" t="s">
        <v>85</v>
      </c>
      <c r="M268" s="1" t="s">
        <v>71</v>
      </c>
      <c r="N268" s="1" t="s">
        <v>72</v>
      </c>
      <c r="O268" s="1" t="s">
        <v>64</v>
      </c>
      <c r="P268" s="1" t="s">
        <v>73</v>
      </c>
      <c r="R268" s="93">
        <v>43161</v>
      </c>
      <c r="S268" s="93" t="s">
        <v>2704</v>
      </c>
    </row>
    <row r="269" spans="1:19">
      <c r="A269" s="92">
        <v>43162</v>
      </c>
      <c r="C269" s="1" t="s">
        <v>56</v>
      </c>
      <c r="E269" s="98" t="s">
        <v>301</v>
      </c>
      <c r="F269" s="1" t="s">
        <v>302</v>
      </c>
      <c r="G269" s="1" t="s">
        <v>2147</v>
      </c>
      <c r="H269" s="1">
        <v>55.326027000000003</v>
      </c>
      <c r="I269" s="1" t="s">
        <v>299</v>
      </c>
      <c r="J269" s="1">
        <v>55.326027000000003</v>
      </c>
      <c r="K269" s="1" t="s">
        <v>105</v>
      </c>
      <c r="L269" s="1" t="s">
        <v>105</v>
      </c>
      <c r="M269" s="1" t="s">
        <v>62</v>
      </c>
      <c r="N269" s="1" t="s">
        <v>63</v>
      </c>
      <c r="O269" s="1" t="s">
        <v>64</v>
      </c>
      <c r="P269" s="1" t="s">
        <v>65</v>
      </c>
      <c r="R269" s="93">
        <v>43162</v>
      </c>
      <c r="S269" s="93" t="s">
        <v>2704</v>
      </c>
    </row>
    <row r="270" spans="1:19">
      <c r="A270" s="92">
        <v>43162</v>
      </c>
      <c r="C270" s="1" t="s">
        <v>56</v>
      </c>
      <c r="E270" s="98" t="s">
        <v>303</v>
      </c>
      <c r="F270" s="1" t="s">
        <v>206</v>
      </c>
      <c r="G270" s="1" t="s">
        <v>2148</v>
      </c>
      <c r="H270" s="1">
        <v>5.5326029999999999</v>
      </c>
      <c r="I270" s="1" t="s">
        <v>299</v>
      </c>
      <c r="J270" s="1">
        <v>5.5326029999999999</v>
      </c>
      <c r="K270" s="1" t="s">
        <v>206</v>
      </c>
      <c r="L270" s="1" t="s">
        <v>70</v>
      </c>
      <c r="M270" s="1" t="s">
        <v>71</v>
      </c>
      <c r="N270" s="1" t="s">
        <v>72</v>
      </c>
      <c r="O270" s="1" t="s">
        <v>64</v>
      </c>
      <c r="P270" s="1" t="s">
        <v>73</v>
      </c>
      <c r="R270" s="93">
        <v>43162</v>
      </c>
      <c r="S270" s="93" t="s">
        <v>2704</v>
      </c>
    </row>
    <row r="271" spans="1:19">
      <c r="A271" s="92">
        <v>43162</v>
      </c>
      <c r="C271" s="1" t="s">
        <v>56</v>
      </c>
      <c r="E271" s="98" t="s">
        <v>103</v>
      </c>
      <c r="F271" s="1" t="s">
        <v>104</v>
      </c>
      <c r="G271" s="1" t="s">
        <v>2089</v>
      </c>
      <c r="H271" s="1">
        <v>0.110652</v>
      </c>
      <c r="I271" s="1" t="s">
        <v>299</v>
      </c>
      <c r="J271" s="1">
        <v>0.110652</v>
      </c>
      <c r="K271" s="1" t="s">
        <v>105</v>
      </c>
      <c r="L271" s="1" t="s">
        <v>105</v>
      </c>
      <c r="M271" s="1" t="s">
        <v>62</v>
      </c>
      <c r="N271" s="1" t="s">
        <v>63</v>
      </c>
      <c r="O271" s="1" t="s">
        <v>64</v>
      </c>
      <c r="P271" s="1" t="s">
        <v>65</v>
      </c>
      <c r="R271" s="93">
        <v>43162</v>
      </c>
      <c r="S271" s="93" t="s">
        <v>2704</v>
      </c>
    </row>
    <row r="272" spans="1:19">
      <c r="A272" s="92">
        <v>43162</v>
      </c>
      <c r="C272" s="1" t="s">
        <v>56</v>
      </c>
      <c r="E272" s="98" t="s">
        <v>304</v>
      </c>
      <c r="F272" s="1" t="s">
        <v>305</v>
      </c>
      <c r="G272" s="1" t="s">
        <v>2149</v>
      </c>
      <c r="H272" s="1">
        <v>11.084930999999999</v>
      </c>
      <c r="I272" s="1" t="s">
        <v>299</v>
      </c>
      <c r="J272" s="1">
        <v>11.084930999999999</v>
      </c>
      <c r="K272" s="1" t="s">
        <v>306</v>
      </c>
      <c r="L272" s="1" t="s">
        <v>70</v>
      </c>
      <c r="M272" s="1" t="s">
        <v>71</v>
      </c>
      <c r="N272" s="1" t="s">
        <v>72</v>
      </c>
      <c r="O272" s="1" t="s">
        <v>64</v>
      </c>
      <c r="P272" s="1" t="s">
        <v>73</v>
      </c>
      <c r="R272" s="93">
        <v>43162</v>
      </c>
      <c r="S272" s="93" t="s">
        <v>2704</v>
      </c>
    </row>
    <row r="273" spans="1:19">
      <c r="A273" s="92">
        <v>43162</v>
      </c>
      <c r="C273" s="1" t="s">
        <v>66</v>
      </c>
      <c r="E273" s="98" t="s">
        <v>307</v>
      </c>
      <c r="F273" s="1" t="s">
        <v>308</v>
      </c>
      <c r="G273" s="1" t="s">
        <v>2150</v>
      </c>
      <c r="H273" s="1">
        <v>5</v>
      </c>
      <c r="I273" s="1" t="s">
        <v>299</v>
      </c>
      <c r="J273" s="1">
        <v>5</v>
      </c>
      <c r="K273" s="1" t="s">
        <v>309</v>
      </c>
      <c r="L273" s="1" t="s">
        <v>150</v>
      </c>
      <c r="M273" s="1" t="s">
        <v>132</v>
      </c>
      <c r="N273" s="1" t="s">
        <v>72</v>
      </c>
      <c r="O273" s="1" t="s">
        <v>64</v>
      </c>
      <c r="P273" s="1" t="s">
        <v>133</v>
      </c>
      <c r="R273" s="93">
        <v>43162</v>
      </c>
      <c r="S273" s="93" t="s">
        <v>2704</v>
      </c>
    </row>
    <row r="274" spans="1:19">
      <c r="A274" s="92">
        <v>43162</v>
      </c>
      <c r="C274" s="1" t="s">
        <v>56</v>
      </c>
      <c r="E274" s="98" t="s">
        <v>310</v>
      </c>
      <c r="F274" s="1" t="s">
        <v>311</v>
      </c>
      <c r="G274" s="1" t="s">
        <v>2151</v>
      </c>
      <c r="H274" s="1">
        <v>4</v>
      </c>
      <c r="I274" s="1" t="s">
        <v>299</v>
      </c>
      <c r="J274" s="1">
        <v>4</v>
      </c>
      <c r="K274" s="1" t="s">
        <v>312</v>
      </c>
      <c r="L274" s="1" t="s">
        <v>117</v>
      </c>
      <c r="M274" s="1" t="s">
        <v>2661</v>
      </c>
      <c r="N274" s="1" t="s">
        <v>72</v>
      </c>
      <c r="O274" s="1" t="s">
        <v>64</v>
      </c>
      <c r="P274" s="1" t="s">
        <v>53</v>
      </c>
      <c r="R274" s="93">
        <v>43162</v>
      </c>
      <c r="S274" s="93" t="s">
        <v>2704</v>
      </c>
    </row>
    <row r="275" spans="1:19">
      <c r="A275" s="92">
        <v>43162</v>
      </c>
      <c r="C275" s="1" t="s">
        <v>56</v>
      </c>
      <c r="E275" s="98" t="s">
        <v>313</v>
      </c>
      <c r="F275" s="1" t="s">
        <v>314</v>
      </c>
      <c r="G275" s="1" t="s">
        <v>2152</v>
      </c>
      <c r="H275" s="1">
        <v>10</v>
      </c>
      <c r="I275" s="1" t="s">
        <v>299</v>
      </c>
      <c r="J275" s="1">
        <v>10</v>
      </c>
      <c r="K275" s="1" t="s">
        <v>281</v>
      </c>
      <c r="L275" s="1" t="s">
        <v>281</v>
      </c>
      <c r="M275" s="1" t="s">
        <v>71</v>
      </c>
      <c r="N275" s="1" t="s">
        <v>72</v>
      </c>
      <c r="O275" s="1" t="s">
        <v>64</v>
      </c>
      <c r="P275" s="1" t="s">
        <v>73</v>
      </c>
      <c r="R275" s="93">
        <v>43162</v>
      </c>
      <c r="S275" s="93" t="s">
        <v>2704</v>
      </c>
    </row>
    <row r="276" spans="1:19">
      <c r="A276" s="92">
        <v>43162</v>
      </c>
      <c r="C276" s="1" t="s">
        <v>56</v>
      </c>
      <c r="E276" s="98" t="s">
        <v>313</v>
      </c>
      <c r="F276" s="1" t="s">
        <v>314</v>
      </c>
      <c r="G276" s="1" t="s">
        <v>2152</v>
      </c>
      <c r="H276" s="1">
        <v>20</v>
      </c>
      <c r="I276" s="1" t="s">
        <v>299</v>
      </c>
      <c r="J276" s="1">
        <v>20</v>
      </c>
      <c r="K276" s="1" t="s">
        <v>281</v>
      </c>
      <c r="L276" s="1" t="s">
        <v>281</v>
      </c>
      <c r="M276" s="1" t="s">
        <v>71</v>
      </c>
      <c r="N276" s="1" t="s">
        <v>72</v>
      </c>
      <c r="O276" s="1" t="s">
        <v>64</v>
      </c>
      <c r="P276" s="1" t="s">
        <v>73</v>
      </c>
      <c r="R276" s="93">
        <v>43162</v>
      </c>
      <c r="S276" s="93" t="s">
        <v>2704</v>
      </c>
    </row>
    <row r="277" spans="1:19">
      <c r="A277" s="92">
        <v>43162</v>
      </c>
      <c r="C277" s="1" t="s">
        <v>56</v>
      </c>
      <c r="E277" s="98" t="s">
        <v>315</v>
      </c>
      <c r="F277" s="1" t="s">
        <v>316</v>
      </c>
      <c r="G277" s="1" t="s">
        <v>2153</v>
      </c>
      <c r="H277" s="1">
        <v>2</v>
      </c>
      <c r="I277" s="1" t="s">
        <v>299</v>
      </c>
      <c r="J277" s="1">
        <v>2</v>
      </c>
      <c r="K277" s="1" t="s">
        <v>84</v>
      </c>
      <c r="L277" s="1" t="s">
        <v>85</v>
      </c>
      <c r="M277" s="1" t="s">
        <v>71</v>
      </c>
      <c r="N277" s="1" t="s">
        <v>72</v>
      </c>
      <c r="O277" s="1" t="s">
        <v>64</v>
      </c>
      <c r="P277" s="1" t="s">
        <v>73</v>
      </c>
      <c r="R277" s="93">
        <v>43162</v>
      </c>
      <c r="S277" s="93" t="s">
        <v>2704</v>
      </c>
    </row>
    <row r="278" spans="1:19">
      <c r="A278" s="92">
        <v>43162</v>
      </c>
      <c r="C278" s="1" t="s">
        <v>66</v>
      </c>
      <c r="E278" s="98" t="s">
        <v>317</v>
      </c>
      <c r="F278" s="1" t="s">
        <v>318</v>
      </c>
      <c r="G278" s="1" t="s">
        <v>2154</v>
      </c>
      <c r="H278" s="1">
        <v>5</v>
      </c>
      <c r="I278" s="1" t="s">
        <v>299</v>
      </c>
      <c r="J278" s="1">
        <v>5</v>
      </c>
      <c r="K278" s="1" t="s">
        <v>121</v>
      </c>
      <c r="L278" s="1" t="s">
        <v>93</v>
      </c>
      <c r="M278" s="1" t="s">
        <v>94</v>
      </c>
      <c r="N278" s="1" t="s">
        <v>72</v>
      </c>
      <c r="O278" s="1" t="s">
        <v>64</v>
      </c>
      <c r="P278" s="1" t="s">
        <v>95</v>
      </c>
      <c r="R278" s="93">
        <v>43162</v>
      </c>
      <c r="S278" s="93" t="s">
        <v>2704</v>
      </c>
    </row>
    <row r="279" spans="1:19">
      <c r="A279" s="92">
        <v>43162</v>
      </c>
      <c r="C279" s="1" t="s">
        <v>56</v>
      </c>
      <c r="E279" s="98" t="s">
        <v>319</v>
      </c>
      <c r="F279" s="1" t="s">
        <v>320</v>
      </c>
      <c r="G279" s="1" t="s">
        <v>2155</v>
      </c>
      <c r="H279" s="1">
        <v>0.2</v>
      </c>
      <c r="I279" s="1" t="s">
        <v>299</v>
      </c>
      <c r="J279" s="1">
        <v>0.2</v>
      </c>
      <c r="K279" s="1" t="s">
        <v>105</v>
      </c>
      <c r="L279" s="1" t="s">
        <v>105</v>
      </c>
      <c r="M279" s="1" t="s">
        <v>62</v>
      </c>
      <c r="N279" s="1" t="s">
        <v>63</v>
      </c>
      <c r="O279" s="1" t="s">
        <v>64</v>
      </c>
      <c r="P279" s="1" t="s">
        <v>65</v>
      </c>
      <c r="R279" s="93">
        <v>43162</v>
      </c>
      <c r="S279" s="93" t="s">
        <v>2704</v>
      </c>
    </row>
    <row r="280" spans="1:19">
      <c r="A280" s="92">
        <v>43163</v>
      </c>
      <c r="C280" s="1" t="s">
        <v>56</v>
      </c>
      <c r="E280" s="98" t="s">
        <v>321</v>
      </c>
      <c r="F280" s="1" t="s">
        <v>322</v>
      </c>
      <c r="G280" s="1" t="s">
        <v>2156</v>
      </c>
      <c r="H280" s="1">
        <v>5.0999999999999996</v>
      </c>
      <c r="I280" s="1" t="s">
        <v>299</v>
      </c>
      <c r="J280" s="1">
        <v>5.0999999999999996</v>
      </c>
      <c r="K280" s="1" t="s">
        <v>175</v>
      </c>
      <c r="L280" s="1" t="s">
        <v>131</v>
      </c>
      <c r="M280" s="1" t="s">
        <v>132</v>
      </c>
      <c r="N280" s="1" t="s">
        <v>72</v>
      </c>
      <c r="O280" s="1" t="s">
        <v>64</v>
      </c>
      <c r="P280" s="1" t="s">
        <v>133</v>
      </c>
      <c r="R280" s="93">
        <v>43163</v>
      </c>
      <c r="S280" s="93" t="s">
        <v>2704</v>
      </c>
    </row>
    <row r="281" spans="1:19">
      <c r="A281" s="92">
        <v>43163</v>
      </c>
      <c r="C281" s="1" t="s">
        <v>56</v>
      </c>
      <c r="E281" s="98" t="s">
        <v>323</v>
      </c>
      <c r="F281" s="1" t="s">
        <v>324</v>
      </c>
      <c r="G281" s="1" t="s">
        <v>2157</v>
      </c>
      <c r="H281" s="1">
        <v>5</v>
      </c>
      <c r="I281" s="1" t="s">
        <v>299</v>
      </c>
      <c r="J281" s="1">
        <v>5</v>
      </c>
      <c r="K281" s="1" t="s">
        <v>167</v>
      </c>
      <c r="L281" s="1" t="s">
        <v>117</v>
      </c>
      <c r="M281" s="1" t="s">
        <v>2661</v>
      </c>
      <c r="N281" s="1" t="s">
        <v>72</v>
      </c>
      <c r="O281" s="1" t="s">
        <v>64</v>
      </c>
      <c r="P281" s="1" t="s">
        <v>53</v>
      </c>
      <c r="R281" s="93">
        <v>43163</v>
      </c>
      <c r="S281" s="93" t="s">
        <v>2704</v>
      </c>
    </row>
    <row r="282" spans="1:19">
      <c r="A282" s="92">
        <v>43163</v>
      </c>
      <c r="C282" s="1" t="s">
        <v>56</v>
      </c>
      <c r="E282" s="98" t="s">
        <v>325</v>
      </c>
      <c r="F282" s="1" t="s">
        <v>326</v>
      </c>
      <c r="G282" s="1" t="s">
        <v>2158</v>
      </c>
      <c r="H282" s="1">
        <v>3.3</v>
      </c>
      <c r="I282" s="1" t="s">
        <v>299</v>
      </c>
      <c r="J282" s="1">
        <v>3.3</v>
      </c>
      <c r="K282" s="1" t="s">
        <v>85</v>
      </c>
      <c r="L282" s="1" t="s">
        <v>85</v>
      </c>
      <c r="M282" s="1" t="s">
        <v>71</v>
      </c>
      <c r="N282" s="1" t="s">
        <v>72</v>
      </c>
      <c r="O282" s="1" t="s">
        <v>64</v>
      </c>
      <c r="P282" s="1" t="s">
        <v>73</v>
      </c>
      <c r="R282" s="93">
        <v>43163</v>
      </c>
      <c r="S282" s="93" t="s">
        <v>2704</v>
      </c>
    </row>
    <row r="283" spans="1:19">
      <c r="A283" s="92">
        <v>43163</v>
      </c>
      <c r="C283" s="1" t="s">
        <v>66</v>
      </c>
      <c r="E283" s="98" t="s">
        <v>327</v>
      </c>
      <c r="F283" s="1" t="s">
        <v>328</v>
      </c>
      <c r="G283" s="1" t="s">
        <v>2159</v>
      </c>
      <c r="H283" s="1">
        <v>5</v>
      </c>
      <c r="I283" s="1" t="s">
        <v>299</v>
      </c>
      <c r="J283" s="1">
        <v>5</v>
      </c>
      <c r="K283" s="1" t="s">
        <v>280</v>
      </c>
      <c r="L283" s="1" t="s">
        <v>281</v>
      </c>
      <c r="M283" s="1" t="s">
        <v>71</v>
      </c>
      <c r="N283" s="1" t="s">
        <v>72</v>
      </c>
      <c r="O283" s="1" t="s">
        <v>64</v>
      </c>
      <c r="P283" s="1" t="s">
        <v>73</v>
      </c>
      <c r="R283" s="93">
        <v>43163</v>
      </c>
      <c r="S283" s="93" t="s">
        <v>2704</v>
      </c>
    </row>
    <row r="284" spans="1:19">
      <c r="A284" s="92">
        <v>43163</v>
      </c>
      <c r="C284" s="1" t="s">
        <v>56</v>
      </c>
      <c r="E284" s="98" t="s">
        <v>329</v>
      </c>
      <c r="F284" s="1" t="s">
        <v>330</v>
      </c>
      <c r="G284" s="1" t="s">
        <v>2160</v>
      </c>
      <c r="H284" s="1">
        <v>5.21</v>
      </c>
      <c r="I284" s="1" t="s">
        <v>299</v>
      </c>
      <c r="J284" s="1">
        <v>5.21</v>
      </c>
      <c r="K284" s="1" t="s">
        <v>252</v>
      </c>
      <c r="L284" s="1" t="s">
        <v>253</v>
      </c>
      <c r="M284" s="1" t="s">
        <v>94</v>
      </c>
      <c r="N284" s="1" t="s">
        <v>72</v>
      </c>
      <c r="O284" s="1" t="s">
        <v>64</v>
      </c>
      <c r="P284" s="1" t="s">
        <v>95</v>
      </c>
      <c r="R284" s="93">
        <v>43163</v>
      </c>
      <c r="S284" s="93" t="s">
        <v>2704</v>
      </c>
    </row>
    <row r="285" spans="1:19">
      <c r="A285" s="92">
        <v>43163</v>
      </c>
      <c r="C285" s="1" t="s">
        <v>56</v>
      </c>
      <c r="E285" s="98" t="s">
        <v>331</v>
      </c>
      <c r="F285" s="1" t="s">
        <v>332</v>
      </c>
      <c r="G285" s="1" t="s">
        <v>2161</v>
      </c>
      <c r="H285" s="1">
        <v>5</v>
      </c>
      <c r="I285" s="1" t="s">
        <v>299</v>
      </c>
      <c r="J285" s="1">
        <v>5</v>
      </c>
      <c r="K285" s="1" t="s">
        <v>239</v>
      </c>
      <c r="L285" s="1" t="s">
        <v>150</v>
      </c>
      <c r="M285" s="1" t="s">
        <v>132</v>
      </c>
      <c r="N285" s="1" t="s">
        <v>72</v>
      </c>
      <c r="O285" s="1" t="s">
        <v>64</v>
      </c>
      <c r="P285" s="1" t="s">
        <v>133</v>
      </c>
      <c r="R285" s="93">
        <v>43163</v>
      </c>
      <c r="S285" s="93" t="s">
        <v>2704</v>
      </c>
    </row>
    <row r="286" spans="1:19">
      <c r="A286" s="92">
        <v>43163</v>
      </c>
      <c r="C286" s="1" t="s">
        <v>56</v>
      </c>
      <c r="E286" s="98" t="s">
        <v>333</v>
      </c>
      <c r="F286" s="1" t="s">
        <v>239</v>
      </c>
      <c r="G286" s="1" t="s">
        <v>2162</v>
      </c>
      <c r="H286" s="1">
        <v>5</v>
      </c>
      <c r="I286" s="1" t="s">
        <v>299</v>
      </c>
      <c r="J286" s="1">
        <v>5</v>
      </c>
      <c r="K286" s="1" t="s">
        <v>239</v>
      </c>
      <c r="L286" s="1" t="s">
        <v>150</v>
      </c>
      <c r="M286" s="1" t="s">
        <v>132</v>
      </c>
      <c r="N286" s="1" t="s">
        <v>72</v>
      </c>
      <c r="O286" s="1" t="s">
        <v>64</v>
      </c>
      <c r="P286" s="1" t="s">
        <v>133</v>
      </c>
      <c r="R286" s="93">
        <v>43163</v>
      </c>
      <c r="S286" s="93" t="s">
        <v>2704</v>
      </c>
    </row>
    <row r="287" spans="1:19">
      <c r="A287" s="92">
        <v>43164</v>
      </c>
      <c r="C287" s="1" t="s">
        <v>56</v>
      </c>
      <c r="E287" s="98" t="s">
        <v>336</v>
      </c>
      <c r="F287" s="1" t="s">
        <v>337</v>
      </c>
      <c r="G287" s="1" t="s">
        <v>2163</v>
      </c>
      <c r="H287" s="1">
        <v>1.1065209999999999</v>
      </c>
      <c r="I287" s="1" t="s">
        <v>299</v>
      </c>
      <c r="J287" s="1">
        <v>1.1065209999999999</v>
      </c>
      <c r="K287" s="1" t="s">
        <v>124</v>
      </c>
      <c r="L287" s="1" t="s">
        <v>117</v>
      </c>
      <c r="M287" s="1" t="s">
        <v>2661</v>
      </c>
      <c r="N287" s="1" t="s">
        <v>72</v>
      </c>
      <c r="O287" s="1" t="s">
        <v>64</v>
      </c>
      <c r="P287" s="1" t="s">
        <v>53</v>
      </c>
      <c r="R287" s="93">
        <v>43164</v>
      </c>
      <c r="S287" s="93" t="s">
        <v>2704</v>
      </c>
    </row>
    <row r="288" spans="1:19">
      <c r="A288" s="92">
        <v>43164</v>
      </c>
      <c r="C288" s="1" t="s">
        <v>56</v>
      </c>
      <c r="E288" s="98" t="s">
        <v>338</v>
      </c>
      <c r="F288" s="1" t="s">
        <v>339</v>
      </c>
      <c r="G288" s="1" t="s">
        <v>2164</v>
      </c>
      <c r="H288" s="1">
        <v>4.4260820000000001</v>
      </c>
      <c r="I288" s="1" t="s">
        <v>299</v>
      </c>
      <c r="J288" s="1">
        <v>4.4260820000000001</v>
      </c>
      <c r="K288" s="1" t="s">
        <v>124</v>
      </c>
      <c r="L288" s="1" t="s">
        <v>117</v>
      </c>
      <c r="M288" s="1" t="s">
        <v>2661</v>
      </c>
      <c r="N288" s="1" t="s">
        <v>72</v>
      </c>
      <c r="O288" s="1" t="s">
        <v>64</v>
      </c>
      <c r="P288" s="1" t="s">
        <v>53</v>
      </c>
      <c r="R288" s="93">
        <v>43164</v>
      </c>
      <c r="S288" s="93" t="s">
        <v>2704</v>
      </c>
    </row>
    <row r="289" spans="1:19">
      <c r="A289" s="92">
        <v>43164</v>
      </c>
      <c r="C289" s="1" t="s">
        <v>56</v>
      </c>
      <c r="E289" s="98" t="s">
        <v>340</v>
      </c>
      <c r="F289" s="1" t="s">
        <v>341</v>
      </c>
      <c r="G289" s="1" t="s">
        <v>2165</v>
      </c>
      <c r="H289" s="1">
        <v>3</v>
      </c>
      <c r="I289" s="1" t="s">
        <v>299</v>
      </c>
      <c r="J289" s="1">
        <v>3</v>
      </c>
      <c r="K289" s="1" t="s">
        <v>114</v>
      </c>
      <c r="L289" s="1" t="s">
        <v>85</v>
      </c>
      <c r="M289" s="1" t="s">
        <v>71</v>
      </c>
      <c r="N289" s="1" t="s">
        <v>72</v>
      </c>
      <c r="O289" s="1" t="s">
        <v>64</v>
      </c>
      <c r="P289" s="1" t="s">
        <v>73</v>
      </c>
      <c r="R289" s="93">
        <v>43164</v>
      </c>
      <c r="S289" s="93" t="s">
        <v>2704</v>
      </c>
    </row>
    <row r="290" spans="1:19">
      <c r="A290" s="92">
        <v>43164</v>
      </c>
      <c r="C290" s="1" t="s">
        <v>56</v>
      </c>
      <c r="E290" s="98" t="s">
        <v>342</v>
      </c>
      <c r="F290" s="1" t="s">
        <v>343</v>
      </c>
      <c r="G290" s="1" t="s">
        <v>2166</v>
      </c>
      <c r="H290" s="1">
        <v>12</v>
      </c>
      <c r="I290" s="1" t="s">
        <v>299</v>
      </c>
      <c r="J290" s="1">
        <v>12</v>
      </c>
      <c r="K290" s="1" t="s">
        <v>172</v>
      </c>
      <c r="L290" s="1" t="s">
        <v>131</v>
      </c>
      <c r="M290" s="1" t="s">
        <v>132</v>
      </c>
      <c r="N290" s="1" t="s">
        <v>72</v>
      </c>
      <c r="O290" s="1" t="s">
        <v>64</v>
      </c>
      <c r="P290" s="1" t="s">
        <v>133</v>
      </c>
      <c r="R290" s="93">
        <v>43164</v>
      </c>
      <c r="S290" s="93" t="s">
        <v>2704</v>
      </c>
    </row>
    <row r="291" spans="1:19">
      <c r="A291" s="92">
        <v>43164</v>
      </c>
      <c r="C291" s="1" t="s">
        <v>56</v>
      </c>
      <c r="E291" s="98" t="s">
        <v>346</v>
      </c>
      <c r="F291" s="1" t="s">
        <v>347</v>
      </c>
      <c r="G291" s="1" t="s">
        <v>2167</v>
      </c>
      <c r="H291" s="1">
        <v>0.1</v>
      </c>
      <c r="I291" s="1" t="s">
        <v>299</v>
      </c>
      <c r="J291" s="1">
        <v>0.1</v>
      </c>
      <c r="K291" s="1" t="s">
        <v>127</v>
      </c>
      <c r="L291" s="1" t="s">
        <v>110</v>
      </c>
      <c r="M291" s="1" t="s">
        <v>52</v>
      </c>
      <c r="N291" s="1" t="s">
        <v>63</v>
      </c>
      <c r="O291" s="1" t="s">
        <v>64</v>
      </c>
      <c r="P291" s="1" t="s">
        <v>111</v>
      </c>
      <c r="R291" s="93">
        <v>43164</v>
      </c>
      <c r="S291" s="93" t="s">
        <v>2704</v>
      </c>
    </row>
    <row r="292" spans="1:19">
      <c r="A292" s="92">
        <v>43161</v>
      </c>
      <c r="C292" s="1" t="s">
        <v>56</v>
      </c>
      <c r="E292" s="98" t="s">
        <v>348</v>
      </c>
      <c r="F292" s="1" t="s">
        <v>349</v>
      </c>
      <c r="G292" s="1" t="s">
        <v>2168</v>
      </c>
      <c r="H292" s="1">
        <v>0.88</v>
      </c>
      <c r="I292" s="1" t="s">
        <v>350</v>
      </c>
      <c r="J292" s="1">
        <v>0.52800000000000002</v>
      </c>
      <c r="K292" s="1" t="s">
        <v>101</v>
      </c>
      <c r="L292" s="1" t="s">
        <v>102</v>
      </c>
      <c r="M292" s="1" t="s">
        <v>94</v>
      </c>
      <c r="N292" s="1" t="s">
        <v>72</v>
      </c>
      <c r="O292" s="1" t="s">
        <v>64</v>
      </c>
      <c r="P292" s="1" t="s">
        <v>95</v>
      </c>
      <c r="R292" s="93">
        <v>43161</v>
      </c>
      <c r="S292" s="93" t="s">
        <v>2705</v>
      </c>
    </row>
    <row r="293" spans="1:19">
      <c r="A293" s="92">
        <v>43162</v>
      </c>
      <c r="C293" s="1" t="s">
        <v>56</v>
      </c>
      <c r="E293" s="98" t="s">
        <v>351</v>
      </c>
      <c r="F293" s="1" t="s">
        <v>352</v>
      </c>
      <c r="G293" s="1" t="s">
        <v>2169</v>
      </c>
      <c r="H293" s="1">
        <v>2</v>
      </c>
      <c r="I293" s="1" t="s">
        <v>350</v>
      </c>
      <c r="J293" s="1">
        <v>1.2</v>
      </c>
      <c r="K293" s="1" t="s">
        <v>353</v>
      </c>
      <c r="L293" s="1" t="s">
        <v>281</v>
      </c>
      <c r="M293" s="1" t="s">
        <v>71</v>
      </c>
      <c r="N293" s="1" t="s">
        <v>72</v>
      </c>
      <c r="O293" s="1" t="s">
        <v>64</v>
      </c>
      <c r="P293" s="1" t="s">
        <v>73</v>
      </c>
      <c r="R293" s="93">
        <v>43162</v>
      </c>
      <c r="S293" s="93" t="s">
        <v>2705</v>
      </c>
    </row>
    <row r="294" spans="1:19">
      <c r="A294" s="92">
        <v>43163</v>
      </c>
      <c r="C294" s="1" t="s">
        <v>56</v>
      </c>
      <c r="E294" s="98" t="s">
        <v>321</v>
      </c>
      <c r="F294" s="1" t="s">
        <v>322</v>
      </c>
      <c r="G294" s="1" t="s">
        <v>2156</v>
      </c>
      <c r="H294" s="1">
        <v>2</v>
      </c>
      <c r="I294" s="1" t="s">
        <v>350</v>
      </c>
      <c r="J294" s="1">
        <v>1.2</v>
      </c>
      <c r="K294" s="1" t="s">
        <v>175</v>
      </c>
      <c r="L294" s="1" t="s">
        <v>131</v>
      </c>
      <c r="M294" s="1" t="s">
        <v>132</v>
      </c>
      <c r="N294" s="1" t="s">
        <v>72</v>
      </c>
      <c r="O294" s="1" t="s">
        <v>64</v>
      </c>
      <c r="P294" s="1" t="s">
        <v>133</v>
      </c>
      <c r="R294" s="93">
        <v>43163</v>
      </c>
      <c r="S294" s="93" t="s">
        <v>2705</v>
      </c>
    </row>
    <row r="295" spans="1:19">
      <c r="A295" s="92">
        <v>43162</v>
      </c>
      <c r="C295" s="1" t="s">
        <v>56</v>
      </c>
      <c r="E295" s="98" t="s">
        <v>357</v>
      </c>
      <c r="F295" s="1" t="s">
        <v>358</v>
      </c>
      <c r="G295" s="1" t="s">
        <v>2027</v>
      </c>
      <c r="H295" s="1">
        <v>5</v>
      </c>
      <c r="I295" s="1" t="s">
        <v>359</v>
      </c>
      <c r="J295" s="1">
        <v>5</v>
      </c>
      <c r="K295" s="1" t="s">
        <v>358</v>
      </c>
      <c r="L295" s="1" t="s">
        <v>117</v>
      </c>
      <c r="M295" s="1" t="s">
        <v>2661</v>
      </c>
      <c r="N295" s="1" t="s">
        <v>72</v>
      </c>
      <c r="O295" s="1" t="s">
        <v>64</v>
      </c>
      <c r="P295" s="1" t="s">
        <v>53</v>
      </c>
      <c r="R295" s="93">
        <v>43162</v>
      </c>
      <c r="S295" s="93" t="s">
        <v>2704</v>
      </c>
    </row>
    <row r="296" spans="1:19">
      <c r="A296" s="92">
        <v>43162</v>
      </c>
      <c r="C296" s="1" t="s">
        <v>66</v>
      </c>
      <c r="E296" s="98" t="s">
        <v>361</v>
      </c>
      <c r="F296" s="1" t="s">
        <v>362</v>
      </c>
      <c r="G296" s="1" t="s">
        <v>2170</v>
      </c>
      <c r="H296" s="1">
        <v>0.01</v>
      </c>
      <c r="I296" s="1" t="s">
        <v>360</v>
      </c>
      <c r="J296" s="1">
        <v>3.0000000000000001E-3</v>
      </c>
      <c r="K296" s="1" t="s">
        <v>60</v>
      </c>
      <c r="L296" s="1" t="s">
        <v>61</v>
      </c>
      <c r="M296" s="1" t="s">
        <v>62</v>
      </c>
      <c r="N296" s="1" t="s">
        <v>63</v>
      </c>
      <c r="O296" s="1" t="s">
        <v>64</v>
      </c>
      <c r="P296" s="1" t="s">
        <v>65</v>
      </c>
      <c r="R296" s="93">
        <v>43162</v>
      </c>
      <c r="S296" s="93" t="s">
        <v>2706</v>
      </c>
    </row>
    <row r="297" spans="1:19">
      <c r="A297" s="92">
        <v>43162</v>
      </c>
      <c r="C297" s="1" t="s">
        <v>56</v>
      </c>
      <c r="E297" s="98" t="s">
        <v>363</v>
      </c>
      <c r="F297" s="1" t="s">
        <v>364</v>
      </c>
      <c r="G297" s="1" t="s">
        <v>2171</v>
      </c>
      <c r="H297" s="1">
        <v>3</v>
      </c>
      <c r="I297" s="1" t="s">
        <v>360</v>
      </c>
      <c r="J297" s="1">
        <v>0.9</v>
      </c>
      <c r="K297" s="1" t="s">
        <v>365</v>
      </c>
      <c r="L297" s="1" t="s">
        <v>102</v>
      </c>
      <c r="M297" s="1" t="s">
        <v>94</v>
      </c>
      <c r="N297" s="1" t="s">
        <v>72</v>
      </c>
      <c r="O297" s="1" t="s">
        <v>64</v>
      </c>
      <c r="P297" s="1" t="s">
        <v>95</v>
      </c>
      <c r="R297" s="93">
        <v>43162</v>
      </c>
      <c r="S297" s="93" t="s">
        <v>2706</v>
      </c>
    </row>
    <row r="298" spans="1:19">
      <c r="A298" s="92">
        <v>43162</v>
      </c>
      <c r="C298" s="1" t="s">
        <v>56</v>
      </c>
      <c r="E298" s="98" t="s">
        <v>366</v>
      </c>
      <c r="F298" s="1" t="s">
        <v>367</v>
      </c>
      <c r="G298" s="1" t="s">
        <v>2172</v>
      </c>
      <c r="H298" s="1">
        <v>1</v>
      </c>
      <c r="I298" s="1" t="s">
        <v>360</v>
      </c>
      <c r="J298" s="1">
        <v>0.3</v>
      </c>
      <c r="K298" s="1" t="s">
        <v>136</v>
      </c>
      <c r="L298" s="1" t="s">
        <v>85</v>
      </c>
      <c r="M298" s="1" t="s">
        <v>71</v>
      </c>
      <c r="N298" s="1" t="s">
        <v>72</v>
      </c>
      <c r="O298" s="1" t="s">
        <v>64</v>
      </c>
      <c r="P298" s="1" t="s">
        <v>73</v>
      </c>
      <c r="R298" s="93">
        <v>43162</v>
      </c>
      <c r="S298" s="93" t="s">
        <v>2706</v>
      </c>
    </row>
    <row r="299" spans="1:19">
      <c r="A299" s="92">
        <v>43162</v>
      </c>
      <c r="C299" s="1" t="s">
        <v>66</v>
      </c>
      <c r="E299" s="98" t="s">
        <v>368</v>
      </c>
      <c r="F299" s="1" t="s">
        <v>369</v>
      </c>
      <c r="G299" s="1" t="s">
        <v>2173</v>
      </c>
      <c r="H299" s="1">
        <v>2</v>
      </c>
      <c r="I299" s="1" t="s">
        <v>360</v>
      </c>
      <c r="J299" s="1">
        <v>0.6</v>
      </c>
      <c r="K299" s="1" t="s">
        <v>370</v>
      </c>
      <c r="L299" s="1" t="s">
        <v>193</v>
      </c>
      <c r="M299" s="1" t="s">
        <v>62</v>
      </c>
      <c r="N299" s="1" t="s">
        <v>63</v>
      </c>
      <c r="O299" s="1" t="s">
        <v>64</v>
      </c>
      <c r="P299" s="1" t="s">
        <v>65</v>
      </c>
      <c r="R299" s="93">
        <v>43162</v>
      </c>
      <c r="S299" s="93" t="s">
        <v>2706</v>
      </c>
    </row>
    <row r="300" spans="1:19">
      <c r="A300" s="92">
        <v>43162</v>
      </c>
      <c r="C300" s="1" t="s">
        <v>56</v>
      </c>
      <c r="E300" s="98" t="s">
        <v>371</v>
      </c>
      <c r="F300" s="1" t="s">
        <v>372</v>
      </c>
      <c r="G300" s="1" t="s">
        <v>2174</v>
      </c>
      <c r="H300" s="1">
        <v>5</v>
      </c>
      <c r="I300" s="1" t="s">
        <v>360</v>
      </c>
      <c r="J300" s="1">
        <v>1.5</v>
      </c>
      <c r="K300" s="1" t="s">
        <v>164</v>
      </c>
      <c r="L300" s="1" t="s">
        <v>93</v>
      </c>
      <c r="M300" s="1" t="s">
        <v>94</v>
      </c>
      <c r="N300" s="1" t="s">
        <v>72</v>
      </c>
      <c r="O300" s="1" t="s">
        <v>64</v>
      </c>
      <c r="P300" s="1" t="s">
        <v>95</v>
      </c>
      <c r="R300" s="93">
        <v>43162</v>
      </c>
      <c r="S300" s="93" t="s">
        <v>2706</v>
      </c>
    </row>
    <row r="301" spans="1:19">
      <c r="A301" s="92">
        <v>43162</v>
      </c>
      <c r="C301" s="1" t="s">
        <v>66</v>
      </c>
      <c r="E301" s="98" t="s">
        <v>373</v>
      </c>
      <c r="F301" s="1" t="s">
        <v>374</v>
      </c>
      <c r="G301" s="1" t="s">
        <v>2175</v>
      </c>
      <c r="H301" s="1">
        <v>2</v>
      </c>
      <c r="I301" s="1" t="s">
        <v>360</v>
      </c>
      <c r="J301" s="1">
        <v>0.6</v>
      </c>
      <c r="K301" s="1" t="s">
        <v>84</v>
      </c>
      <c r="L301" s="1" t="s">
        <v>85</v>
      </c>
      <c r="M301" s="1" t="s">
        <v>71</v>
      </c>
      <c r="N301" s="1" t="s">
        <v>72</v>
      </c>
      <c r="O301" s="1" t="s">
        <v>64</v>
      </c>
      <c r="P301" s="1" t="s">
        <v>73</v>
      </c>
      <c r="R301" s="93">
        <v>43162</v>
      </c>
      <c r="S301" s="93" t="s">
        <v>2706</v>
      </c>
    </row>
    <row r="302" spans="1:19">
      <c r="A302" s="92">
        <v>43162</v>
      </c>
      <c r="C302" s="1" t="s">
        <v>66</v>
      </c>
      <c r="E302" s="98" t="s">
        <v>368</v>
      </c>
      <c r="F302" s="1" t="s">
        <v>369</v>
      </c>
      <c r="G302" s="1" t="s">
        <v>2173</v>
      </c>
      <c r="H302" s="1">
        <v>5</v>
      </c>
      <c r="I302" s="1" t="s">
        <v>360</v>
      </c>
      <c r="J302" s="1">
        <v>1.5</v>
      </c>
      <c r="K302" s="1" t="s">
        <v>370</v>
      </c>
      <c r="L302" s="1" t="s">
        <v>193</v>
      </c>
      <c r="M302" s="1" t="s">
        <v>62</v>
      </c>
      <c r="N302" s="1" t="s">
        <v>63</v>
      </c>
      <c r="O302" s="1" t="s">
        <v>64</v>
      </c>
      <c r="P302" s="1" t="s">
        <v>65</v>
      </c>
      <c r="R302" s="93">
        <v>43162</v>
      </c>
      <c r="S302" s="93" t="s">
        <v>2706</v>
      </c>
    </row>
    <row r="303" spans="1:19">
      <c r="A303" s="92">
        <v>43162</v>
      </c>
      <c r="C303" s="1" t="s">
        <v>66</v>
      </c>
      <c r="E303" s="98" t="s">
        <v>368</v>
      </c>
      <c r="F303" s="1" t="s">
        <v>369</v>
      </c>
      <c r="G303" s="1" t="s">
        <v>2173</v>
      </c>
      <c r="H303" s="1">
        <v>5</v>
      </c>
      <c r="I303" s="1" t="s">
        <v>360</v>
      </c>
      <c r="J303" s="1">
        <v>1.5</v>
      </c>
      <c r="K303" s="1" t="s">
        <v>370</v>
      </c>
      <c r="L303" s="1" t="s">
        <v>193</v>
      </c>
      <c r="M303" s="1" t="s">
        <v>62</v>
      </c>
      <c r="N303" s="1" t="s">
        <v>63</v>
      </c>
      <c r="O303" s="1" t="s">
        <v>64</v>
      </c>
      <c r="P303" s="1" t="s">
        <v>65</v>
      </c>
      <c r="R303" s="93">
        <v>43162</v>
      </c>
      <c r="S303" s="93" t="s">
        <v>2706</v>
      </c>
    </row>
    <row r="304" spans="1:19">
      <c r="A304" s="92">
        <v>43162</v>
      </c>
      <c r="C304" s="1" t="s">
        <v>66</v>
      </c>
      <c r="E304" s="98" t="s">
        <v>368</v>
      </c>
      <c r="F304" s="1" t="s">
        <v>369</v>
      </c>
      <c r="G304" s="1" t="s">
        <v>2173</v>
      </c>
      <c r="H304" s="1">
        <v>2</v>
      </c>
      <c r="I304" s="1" t="s">
        <v>360</v>
      </c>
      <c r="J304" s="1">
        <v>0.6</v>
      </c>
      <c r="K304" s="1" t="s">
        <v>370</v>
      </c>
      <c r="L304" s="1" t="s">
        <v>193</v>
      </c>
      <c r="M304" s="1" t="s">
        <v>62</v>
      </c>
      <c r="N304" s="1" t="s">
        <v>63</v>
      </c>
      <c r="O304" s="1" t="s">
        <v>64</v>
      </c>
      <c r="P304" s="1" t="s">
        <v>65</v>
      </c>
      <c r="R304" s="93">
        <v>43162</v>
      </c>
      <c r="S304" s="93" t="s">
        <v>2706</v>
      </c>
    </row>
    <row r="305" spans="1:19">
      <c r="A305" s="92">
        <v>43162</v>
      </c>
      <c r="C305" s="1" t="s">
        <v>56</v>
      </c>
      <c r="E305" s="98" t="s">
        <v>351</v>
      </c>
      <c r="F305" s="1" t="s">
        <v>352</v>
      </c>
      <c r="G305" s="1" t="s">
        <v>2169</v>
      </c>
      <c r="H305" s="1">
        <v>0.6</v>
      </c>
      <c r="I305" s="1" t="s">
        <v>360</v>
      </c>
      <c r="J305" s="1">
        <v>0.18</v>
      </c>
      <c r="K305" s="1" t="s">
        <v>353</v>
      </c>
      <c r="L305" s="1" t="s">
        <v>281</v>
      </c>
      <c r="M305" s="1" t="s">
        <v>71</v>
      </c>
      <c r="N305" s="1" t="s">
        <v>72</v>
      </c>
      <c r="O305" s="1" t="s">
        <v>64</v>
      </c>
      <c r="P305" s="1" t="s">
        <v>73</v>
      </c>
      <c r="R305" s="93">
        <v>43162</v>
      </c>
      <c r="S305" s="93" t="s">
        <v>2706</v>
      </c>
    </row>
    <row r="306" spans="1:19">
      <c r="A306" s="92">
        <v>43163</v>
      </c>
      <c r="C306" s="1" t="s">
        <v>66</v>
      </c>
      <c r="E306" s="98" t="s">
        <v>375</v>
      </c>
      <c r="F306" s="1" t="s">
        <v>376</v>
      </c>
      <c r="G306" s="1" t="s">
        <v>2176</v>
      </c>
      <c r="H306" s="1">
        <v>8</v>
      </c>
      <c r="I306" s="1" t="s">
        <v>360</v>
      </c>
      <c r="J306" s="1">
        <v>2.4</v>
      </c>
      <c r="K306" s="1" t="s">
        <v>377</v>
      </c>
      <c r="L306" s="1" t="s">
        <v>110</v>
      </c>
      <c r="M306" s="1" t="s">
        <v>52</v>
      </c>
      <c r="N306" s="1" t="s">
        <v>63</v>
      </c>
      <c r="O306" s="1" t="s">
        <v>64</v>
      </c>
      <c r="P306" s="1" t="s">
        <v>111</v>
      </c>
      <c r="R306" s="93">
        <v>43163</v>
      </c>
      <c r="S306" s="93" t="s">
        <v>2706</v>
      </c>
    </row>
    <row r="307" spans="1:19">
      <c r="A307" s="92">
        <v>43163</v>
      </c>
      <c r="C307" s="1" t="s">
        <v>66</v>
      </c>
      <c r="E307" s="98" t="s">
        <v>378</v>
      </c>
      <c r="F307" s="1" t="s">
        <v>379</v>
      </c>
      <c r="G307" s="1" t="s">
        <v>2177</v>
      </c>
      <c r="H307" s="1">
        <v>4</v>
      </c>
      <c r="I307" s="1" t="s">
        <v>360</v>
      </c>
      <c r="J307" s="1">
        <v>1.2</v>
      </c>
      <c r="K307" s="1" t="s">
        <v>124</v>
      </c>
      <c r="L307" s="1" t="s">
        <v>117</v>
      </c>
      <c r="M307" s="1" t="s">
        <v>2661</v>
      </c>
      <c r="N307" s="1" t="s">
        <v>72</v>
      </c>
      <c r="O307" s="1" t="s">
        <v>64</v>
      </c>
      <c r="P307" s="1" t="s">
        <v>53</v>
      </c>
      <c r="R307" s="93">
        <v>43163</v>
      </c>
      <c r="S307" s="93" t="s">
        <v>2706</v>
      </c>
    </row>
    <row r="308" spans="1:19">
      <c r="A308" s="92">
        <v>43163</v>
      </c>
      <c r="C308" s="1" t="s">
        <v>56</v>
      </c>
      <c r="E308" s="98" t="s">
        <v>380</v>
      </c>
      <c r="F308" s="1" t="s">
        <v>381</v>
      </c>
      <c r="G308" s="1" t="s">
        <v>2178</v>
      </c>
      <c r="H308" s="1">
        <v>0.36</v>
      </c>
      <c r="I308" s="1" t="s">
        <v>360</v>
      </c>
      <c r="J308" s="1">
        <v>0.108</v>
      </c>
      <c r="K308" s="1" t="s">
        <v>175</v>
      </c>
      <c r="L308" s="1" t="s">
        <v>131</v>
      </c>
      <c r="M308" s="1" t="s">
        <v>132</v>
      </c>
      <c r="N308" s="1" t="s">
        <v>72</v>
      </c>
      <c r="O308" s="1" t="s">
        <v>64</v>
      </c>
      <c r="P308" s="1" t="s">
        <v>133</v>
      </c>
      <c r="R308" s="93">
        <v>43163</v>
      </c>
      <c r="S308" s="93" t="s">
        <v>2706</v>
      </c>
    </row>
    <row r="309" spans="1:19">
      <c r="A309" s="92">
        <v>43163</v>
      </c>
      <c r="C309" s="1" t="s">
        <v>56</v>
      </c>
      <c r="E309" s="98" t="s">
        <v>382</v>
      </c>
      <c r="F309" s="1" t="s">
        <v>150</v>
      </c>
      <c r="G309" s="1" t="s">
        <v>2179</v>
      </c>
      <c r="H309" s="1">
        <v>7.24</v>
      </c>
      <c r="I309" s="1" t="s">
        <v>360</v>
      </c>
      <c r="J309" s="1">
        <v>2.1720000000000002</v>
      </c>
      <c r="K309" s="1" t="s">
        <v>150</v>
      </c>
      <c r="L309" s="1" t="s">
        <v>150</v>
      </c>
      <c r="M309" s="1" t="s">
        <v>132</v>
      </c>
      <c r="N309" s="1" t="s">
        <v>72</v>
      </c>
      <c r="O309" s="1" t="s">
        <v>64</v>
      </c>
      <c r="P309" s="1" t="s">
        <v>133</v>
      </c>
      <c r="R309" s="93">
        <v>43163</v>
      </c>
      <c r="S309" s="93" t="s">
        <v>2706</v>
      </c>
    </row>
    <row r="310" spans="1:19">
      <c r="A310" s="92">
        <v>43163</v>
      </c>
      <c r="C310" s="1" t="s">
        <v>56</v>
      </c>
      <c r="E310" s="98" t="s">
        <v>386</v>
      </c>
      <c r="F310" s="1" t="s">
        <v>387</v>
      </c>
      <c r="G310" s="1" t="s">
        <v>2180</v>
      </c>
      <c r="H310" s="1">
        <v>5</v>
      </c>
      <c r="I310" s="1" t="s">
        <v>360</v>
      </c>
      <c r="J310" s="1">
        <v>1.5</v>
      </c>
      <c r="K310" s="1" t="s">
        <v>253</v>
      </c>
      <c r="L310" s="1" t="s">
        <v>253</v>
      </c>
      <c r="M310" s="1" t="s">
        <v>94</v>
      </c>
      <c r="N310" s="1" t="s">
        <v>72</v>
      </c>
      <c r="O310" s="1" t="s">
        <v>64</v>
      </c>
      <c r="P310" s="1" t="s">
        <v>95</v>
      </c>
      <c r="R310" s="93">
        <v>43163</v>
      </c>
      <c r="S310" s="93" t="s">
        <v>2706</v>
      </c>
    </row>
    <row r="311" spans="1:19">
      <c r="A311" s="92">
        <v>43163</v>
      </c>
      <c r="C311" s="1" t="s">
        <v>56</v>
      </c>
      <c r="E311" s="98" t="s">
        <v>388</v>
      </c>
      <c r="F311" s="1" t="s">
        <v>389</v>
      </c>
      <c r="G311" s="1" t="s">
        <v>2181</v>
      </c>
      <c r="H311" s="1">
        <v>0.1</v>
      </c>
      <c r="I311" s="1" t="s">
        <v>360</v>
      </c>
      <c r="J311" s="1">
        <v>0.03</v>
      </c>
      <c r="K311" s="1" t="s">
        <v>269</v>
      </c>
      <c r="L311" s="1" t="s">
        <v>269</v>
      </c>
      <c r="M311" s="1" t="s">
        <v>132</v>
      </c>
      <c r="N311" s="1" t="s">
        <v>72</v>
      </c>
      <c r="O311" s="1" t="s">
        <v>64</v>
      </c>
      <c r="P311" s="1" t="s">
        <v>133</v>
      </c>
      <c r="R311" s="93">
        <v>43163</v>
      </c>
      <c r="S311" s="93" t="s">
        <v>2706</v>
      </c>
    </row>
    <row r="312" spans="1:19">
      <c r="A312" s="92">
        <v>43163</v>
      </c>
      <c r="C312" s="1" t="s">
        <v>56</v>
      </c>
      <c r="E312" s="98" t="s">
        <v>390</v>
      </c>
      <c r="F312" s="1" t="s">
        <v>391</v>
      </c>
      <c r="G312" s="1" t="s">
        <v>2182</v>
      </c>
      <c r="H312" s="1">
        <v>3.3</v>
      </c>
      <c r="I312" s="1" t="s">
        <v>360</v>
      </c>
      <c r="J312" s="1">
        <v>0.99</v>
      </c>
      <c r="K312" s="1" t="s">
        <v>215</v>
      </c>
      <c r="L312" s="1" t="s">
        <v>216</v>
      </c>
      <c r="M312" s="1" t="s">
        <v>52</v>
      </c>
      <c r="N312" s="1" t="s">
        <v>63</v>
      </c>
      <c r="O312" s="1" t="s">
        <v>64</v>
      </c>
      <c r="P312" s="1" t="s">
        <v>111</v>
      </c>
      <c r="R312" s="93">
        <v>43163</v>
      </c>
      <c r="S312" s="93" t="s">
        <v>2706</v>
      </c>
    </row>
    <row r="313" spans="1:19">
      <c r="A313" s="92">
        <v>43164</v>
      </c>
      <c r="C313" s="1" t="s">
        <v>56</v>
      </c>
      <c r="E313" s="98" t="s">
        <v>392</v>
      </c>
      <c r="F313" s="1" t="s">
        <v>393</v>
      </c>
      <c r="G313" s="1" t="s">
        <v>2183</v>
      </c>
      <c r="H313" s="1">
        <v>13.77</v>
      </c>
      <c r="I313" s="1" t="s">
        <v>360</v>
      </c>
      <c r="J313" s="1">
        <v>4.1310000000000002</v>
      </c>
      <c r="K313" s="1" t="s">
        <v>312</v>
      </c>
      <c r="L313" s="1" t="s">
        <v>117</v>
      </c>
      <c r="M313" s="1" t="s">
        <v>2661</v>
      </c>
      <c r="N313" s="1" t="s">
        <v>72</v>
      </c>
      <c r="O313" s="1" t="s">
        <v>64</v>
      </c>
      <c r="P313" s="1" t="s">
        <v>53</v>
      </c>
      <c r="R313" s="93">
        <v>43164</v>
      </c>
      <c r="S313" s="93" t="s">
        <v>2706</v>
      </c>
    </row>
    <row r="314" spans="1:19">
      <c r="A314" s="92">
        <v>43164</v>
      </c>
      <c r="C314" s="1" t="s">
        <v>56</v>
      </c>
      <c r="E314" s="98" t="s">
        <v>394</v>
      </c>
      <c r="F314" s="1" t="s">
        <v>395</v>
      </c>
      <c r="G314" s="1" t="s">
        <v>2184</v>
      </c>
      <c r="H314" s="1">
        <v>0.5</v>
      </c>
      <c r="I314" s="1" t="s">
        <v>360</v>
      </c>
      <c r="J314" s="1">
        <v>0.15</v>
      </c>
      <c r="K314" s="1" t="s">
        <v>136</v>
      </c>
      <c r="L314" s="1" t="s">
        <v>85</v>
      </c>
      <c r="M314" s="1" t="s">
        <v>71</v>
      </c>
      <c r="N314" s="1" t="s">
        <v>72</v>
      </c>
      <c r="O314" s="1" t="s">
        <v>64</v>
      </c>
      <c r="P314" s="1" t="s">
        <v>73</v>
      </c>
      <c r="R314" s="93">
        <v>43164</v>
      </c>
      <c r="S314" s="93" t="s">
        <v>2706</v>
      </c>
    </row>
    <row r="315" spans="1:19">
      <c r="A315" s="92">
        <v>43164</v>
      </c>
      <c r="C315" s="1" t="s">
        <v>66</v>
      </c>
      <c r="E315" s="98" t="s">
        <v>396</v>
      </c>
      <c r="F315" s="1" t="s">
        <v>397</v>
      </c>
      <c r="G315" s="1" t="s">
        <v>2185</v>
      </c>
      <c r="H315" s="1">
        <v>8</v>
      </c>
      <c r="I315" s="1" t="s">
        <v>360</v>
      </c>
      <c r="J315" s="1">
        <v>2.4</v>
      </c>
      <c r="K315" s="1" t="s">
        <v>101</v>
      </c>
      <c r="L315" s="1" t="s">
        <v>102</v>
      </c>
      <c r="M315" s="1" t="s">
        <v>94</v>
      </c>
      <c r="N315" s="1" t="s">
        <v>72</v>
      </c>
      <c r="O315" s="1" t="s">
        <v>64</v>
      </c>
      <c r="P315" s="1" t="s">
        <v>95</v>
      </c>
      <c r="R315" s="93">
        <v>43164</v>
      </c>
      <c r="S315" s="93" t="s">
        <v>2706</v>
      </c>
    </row>
    <row r="316" spans="1:19">
      <c r="A316" s="92">
        <v>43164</v>
      </c>
      <c r="C316" s="1" t="s">
        <v>56</v>
      </c>
      <c r="E316" s="98" t="s">
        <v>400</v>
      </c>
      <c r="F316" s="1" t="s">
        <v>401</v>
      </c>
      <c r="G316" s="1" t="s">
        <v>2025</v>
      </c>
      <c r="H316" s="1">
        <v>3</v>
      </c>
      <c r="I316" s="1" t="s">
        <v>402</v>
      </c>
      <c r="J316" s="1">
        <v>0.9</v>
      </c>
      <c r="K316" s="1" t="s">
        <v>403</v>
      </c>
      <c r="L316" s="1" t="s">
        <v>216</v>
      </c>
      <c r="M316" s="1" t="s">
        <v>52</v>
      </c>
      <c r="N316" s="1" t="s">
        <v>63</v>
      </c>
      <c r="O316" s="1" t="s">
        <v>64</v>
      </c>
      <c r="P316" s="1" t="s">
        <v>111</v>
      </c>
      <c r="R316" s="93">
        <v>43164</v>
      </c>
      <c r="S316" s="93" t="s">
        <v>2707</v>
      </c>
    </row>
    <row r="317" spans="1:19">
      <c r="A317" s="92">
        <v>43164</v>
      </c>
      <c r="C317" s="1" t="s">
        <v>56</v>
      </c>
      <c r="E317" s="98" t="s">
        <v>404</v>
      </c>
      <c r="F317" s="1" t="s">
        <v>405</v>
      </c>
      <c r="G317" s="1" t="s">
        <v>2186</v>
      </c>
      <c r="H317" s="1">
        <v>5</v>
      </c>
      <c r="I317" s="1" t="s">
        <v>402</v>
      </c>
      <c r="J317" s="1">
        <v>1.5</v>
      </c>
      <c r="K317" s="1" t="s">
        <v>252</v>
      </c>
      <c r="L317" s="1" t="s">
        <v>253</v>
      </c>
      <c r="M317" s="1" t="s">
        <v>94</v>
      </c>
      <c r="N317" s="1" t="s">
        <v>72</v>
      </c>
      <c r="O317" s="1" t="s">
        <v>64</v>
      </c>
      <c r="P317" s="1" t="s">
        <v>95</v>
      </c>
      <c r="R317" s="93">
        <v>43164</v>
      </c>
      <c r="S317" s="93" t="s">
        <v>2707</v>
      </c>
    </row>
    <row r="318" spans="1:19">
      <c r="A318" s="92">
        <v>43164</v>
      </c>
      <c r="C318" s="1" t="s">
        <v>66</v>
      </c>
      <c r="E318" s="98" t="s">
        <v>406</v>
      </c>
      <c r="F318" s="1" t="s">
        <v>407</v>
      </c>
      <c r="G318" s="1" t="s">
        <v>2187</v>
      </c>
      <c r="H318" s="1">
        <v>0.5</v>
      </c>
      <c r="I318" s="1" t="s">
        <v>402</v>
      </c>
      <c r="J318" s="1">
        <v>0.15</v>
      </c>
      <c r="K318" s="1" t="s">
        <v>136</v>
      </c>
      <c r="L318" s="1" t="s">
        <v>85</v>
      </c>
      <c r="M318" s="1" t="s">
        <v>71</v>
      </c>
      <c r="N318" s="1" t="s">
        <v>72</v>
      </c>
      <c r="O318" s="1" t="s">
        <v>64</v>
      </c>
      <c r="P318" s="1" t="s">
        <v>73</v>
      </c>
      <c r="R318" s="93">
        <v>43164</v>
      </c>
      <c r="S318" s="93" t="s">
        <v>2707</v>
      </c>
    </row>
    <row r="319" spans="1:19">
      <c r="A319" s="92">
        <v>43164</v>
      </c>
      <c r="C319" s="1" t="s">
        <v>56</v>
      </c>
      <c r="E319" s="98" t="s">
        <v>408</v>
      </c>
      <c r="F319" s="1" t="s">
        <v>409</v>
      </c>
      <c r="G319" s="1" t="s">
        <v>2188</v>
      </c>
      <c r="H319" s="1">
        <v>2.0499999999999998</v>
      </c>
      <c r="I319" s="1" t="s">
        <v>402</v>
      </c>
      <c r="J319" s="1">
        <v>0.61499999999999999</v>
      </c>
      <c r="K319" s="1" t="s">
        <v>167</v>
      </c>
      <c r="L319" s="1" t="s">
        <v>117</v>
      </c>
      <c r="M319" s="1" t="s">
        <v>2661</v>
      </c>
      <c r="N319" s="1" t="s">
        <v>72</v>
      </c>
      <c r="O319" s="1" t="s">
        <v>64</v>
      </c>
      <c r="P319" s="1" t="s">
        <v>53</v>
      </c>
      <c r="R319" s="93">
        <v>43164</v>
      </c>
      <c r="S319" s="93" t="s">
        <v>2707</v>
      </c>
    </row>
    <row r="320" spans="1:19">
      <c r="A320" s="92">
        <v>43164</v>
      </c>
      <c r="C320" s="1" t="s">
        <v>56</v>
      </c>
      <c r="E320" s="98" t="s">
        <v>410</v>
      </c>
      <c r="F320" s="1" t="s">
        <v>411</v>
      </c>
      <c r="G320" s="1" t="s">
        <v>2189</v>
      </c>
      <c r="H320" s="1">
        <v>1</v>
      </c>
      <c r="I320" s="1" t="s">
        <v>402</v>
      </c>
      <c r="J320" s="1">
        <v>0.3</v>
      </c>
      <c r="K320" s="1" t="s">
        <v>70</v>
      </c>
      <c r="L320" s="1" t="s">
        <v>70</v>
      </c>
      <c r="M320" s="1" t="s">
        <v>71</v>
      </c>
      <c r="N320" s="1" t="s">
        <v>72</v>
      </c>
      <c r="O320" s="1" t="s">
        <v>64</v>
      </c>
      <c r="P320" s="1" t="s">
        <v>73</v>
      </c>
      <c r="R320" s="93">
        <v>43164</v>
      </c>
      <c r="S320" s="93" t="s">
        <v>2707</v>
      </c>
    </row>
    <row r="321" spans="1:19">
      <c r="A321" s="92">
        <v>43164</v>
      </c>
      <c r="C321" s="1" t="s">
        <v>56</v>
      </c>
      <c r="E321" s="98" t="s">
        <v>412</v>
      </c>
      <c r="F321" s="1" t="s">
        <v>413</v>
      </c>
      <c r="G321" s="1" t="s">
        <v>2190</v>
      </c>
      <c r="H321" s="1">
        <v>12.21</v>
      </c>
      <c r="I321" s="1" t="s">
        <v>402</v>
      </c>
      <c r="J321" s="1">
        <v>3.6629999999999998</v>
      </c>
      <c r="K321" s="1" t="s">
        <v>167</v>
      </c>
      <c r="L321" s="1" t="s">
        <v>117</v>
      </c>
      <c r="M321" s="1" t="s">
        <v>2661</v>
      </c>
      <c r="N321" s="1" t="s">
        <v>72</v>
      </c>
      <c r="O321" s="1" t="s">
        <v>64</v>
      </c>
      <c r="P321" s="1" t="s">
        <v>53</v>
      </c>
      <c r="R321" s="93">
        <v>43164</v>
      </c>
      <c r="S321" s="93" t="s">
        <v>2707</v>
      </c>
    </row>
    <row r="322" spans="1:19">
      <c r="A322" s="92">
        <v>43164</v>
      </c>
      <c r="C322" s="1" t="s">
        <v>56</v>
      </c>
      <c r="E322" s="98" t="s">
        <v>414</v>
      </c>
      <c r="F322" s="1" t="s">
        <v>415</v>
      </c>
      <c r="G322" s="1" t="s">
        <v>2191</v>
      </c>
      <c r="H322" s="1">
        <v>5.19</v>
      </c>
      <c r="I322" s="1" t="s">
        <v>402</v>
      </c>
      <c r="J322" s="1">
        <v>1.5569999999999999</v>
      </c>
      <c r="K322" s="1" t="s">
        <v>416</v>
      </c>
      <c r="L322" s="1" t="s">
        <v>193</v>
      </c>
      <c r="M322" s="1" t="s">
        <v>62</v>
      </c>
      <c r="N322" s="1" t="s">
        <v>63</v>
      </c>
      <c r="O322" s="1" t="s">
        <v>64</v>
      </c>
      <c r="P322" s="1" t="s">
        <v>65</v>
      </c>
      <c r="R322" s="93">
        <v>43164</v>
      </c>
      <c r="S322" s="93" t="s">
        <v>2707</v>
      </c>
    </row>
    <row r="323" spans="1:19">
      <c r="A323" s="92">
        <v>43165</v>
      </c>
      <c r="C323" s="1" t="s">
        <v>56</v>
      </c>
      <c r="E323" s="98" t="s">
        <v>417</v>
      </c>
      <c r="F323" s="1" t="s">
        <v>418</v>
      </c>
      <c r="G323" s="1" t="s">
        <v>2192</v>
      </c>
      <c r="H323" s="1">
        <v>0.54</v>
      </c>
      <c r="I323" s="1" t="s">
        <v>402</v>
      </c>
      <c r="J323" s="1">
        <v>0.16200000000000001</v>
      </c>
      <c r="K323" s="1" t="s">
        <v>144</v>
      </c>
      <c r="L323" s="1" t="s">
        <v>93</v>
      </c>
      <c r="M323" s="1" t="s">
        <v>94</v>
      </c>
      <c r="N323" s="1" t="s">
        <v>72</v>
      </c>
      <c r="O323" s="1" t="s">
        <v>64</v>
      </c>
      <c r="P323" s="1" t="s">
        <v>95</v>
      </c>
      <c r="R323" s="93">
        <v>43165</v>
      </c>
      <c r="S323" s="93" t="s">
        <v>2707</v>
      </c>
    </row>
    <row r="324" spans="1:19">
      <c r="A324" s="92">
        <v>43165</v>
      </c>
      <c r="C324" s="1" t="s">
        <v>66</v>
      </c>
      <c r="E324" s="98" t="s">
        <v>419</v>
      </c>
      <c r="F324" s="1" t="s">
        <v>420</v>
      </c>
      <c r="G324" s="1" t="s">
        <v>2193</v>
      </c>
      <c r="H324" s="1">
        <v>10</v>
      </c>
      <c r="I324" s="1" t="s">
        <v>402</v>
      </c>
      <c r="J324" s="1">
        <v>3</v>
      </c>
      <c r="K324" s="1" t="s">
        <v>206</v>
      </c>
      <c r="L324" s="1" t="s">
        <v>70</v>
      </c>
      <c r="M324" s="1" t="s">
        <v>71</v>
      </c>
      <c r="N324" s="1" t="s">
        <v>72</v>
      </c>
      <c r="O324" s="1" t="s">
        <v>64</v>
      </c>
      <c r="P324" s="1" t="s">
        <v>73</v>
      </c>
      <c r="R324" s="93">
        <v>43165</v>
      </c>
      <c r="S324" s="93" t="s">
        <v>2707</v>
      </c>
    </row>
    <row r="325" spans="1:19">
      <c r="A325" s="92">
        <v>43164</v>
      </c>
      <c r="C325" s="1" t="s">
        <v>56</v>
      </c>
      <c r="E325" s="98" t="s">
        <v>424</v>
      </c>
      <c r="F325" s="1" t="s">
        <v>425</v>
      </c>
      <c r="G325" s="1" t="s">
        <v>2194</v>
      </c>
      <c r="H325" s="1">
        <v>13</v>
      </c>
      <c r="I325" s="1" t="s">
        <v>426</v>
      </c>
      <c r="J325" s="1">
        <v>13</v>
      </c>
      <c r="K325" s="1" t="s">
        <v>175</v>
      </c>
      <c r="L325" s="1" t="s">
        <v>131</v>
      </c>
      <c r="M325" s="1" t="s">
        <v>132</v>
      </c>
      <c r="N325" s="1" t="s">
        <v>72</v>
      </c>
      <c r="O325" s="1" t="s">
        <v>64</v>
      </c>
      <c r="P325" s="1" t="s">
        <v>133</v>
      </c>
      <c r="R325" s="93">
        <v>43164</v>
      </c>
      <c r="S325" s="93" t="s">
        <v>2708</v>
      </c>
    </row>
    <row r="326" spans="1:19">
      <c r="A326" s="92">
        <v>43164</v>
      </c>
      <c r="C326" s="1" t="s">
        <v>56</v>
      </c>
      <c r="E326" s="98" t="s">
        <v>427</v>
      </c>
      <c r="F326" s="1" t="s">
        <v>428</v>
      </c>
      <c r="G326" s="1" t="s">
        <v>2195</v>
      </c>
      <c r="H326" s="1">
        <v>10</v>
      </c>
      <c r="I326" s="1" t="s">
        <v>426</v>
      </c>
      <c r="J326" s="1">
        <v>10</v>
      </c>
      <c r="K326" s="1" t="s">
        <v>281</v>
      </c>
      <c r="L326" s="1" t="s">
        <v>281</v>
      </c>
      <c r="M326" s="1" t="s">
        <v>71</v>
      </c>
      <c r="N326" s="1" t="s">
        <v>72</v>
      </c>
      <c r="O326" s="1" t="s">
        <v>64</v>
      </c>
      <c r="P326" s="1" t="s">
        <v>73</v>
      </c>
      <c r="R326" s="93">
        <v>43164</v>
      </c>
      <c r="S326" s="93" t="s">
        <v>2708</v>
      </c>
    </row>
    <row r="327" spans="1:19">
      <c r="A327" s="92">
        <v>43164</v>
      </c>
      <c r="C327" s="1" t="s">
        <v>56</v>
      </c>
      <c r="E327" s="98" t="s">
        <v>429</v>
      </c>
      <c r="F327" s="1" t="s">
        <v>430</v>
      </c>
      <c r="G327" s="1" t="s">
        <v>2196</v>
      </c>
      <c r="H327" s="1">
        <v>2</v>
      </c>
      <c r="I327" s="1" t="s">
        <v>426</v>
      </c>
      <c r="J327" s="1">
        <v>2</v>
      </c>
      <c r="K327" s="1" t="s">
        <v>234</v>
      </c>
      <c r="L327" s="1" t="s">
        <v>131</v>
      </c>
      <c r="M327" s="1" t="s">
        <v>132</v>
      </c>
      <c r="N327" s="1" t="s">
        <v>72</v>
      </c>
      <c r="O327" s="1" t="s">
        <v>64</v>
      </c>
      <c r="P327" s="1" t="s">
        <v>133</v>
      </c>
      <c r="R327" s="93">
        <v>43164</v>
      </c>
      <c r="S327" s="93" t="s">
        <v>2708</v>
      </c>
    </row>
    <row r="328" spans="1:19">
      <c r="A328" s="92">
        <v>43164</v>
      </c>
      <c r="C328" s="1" t="s">
        <v>56</v>
      </c>
      <c r="E328" s="98" t="s">
        <v>431</v>
      </c>
      <c r="F328" s="1" t="s">
        <v>432</v>
      </c>
      <c r="G328" s="1" t="s">
        <v>2197</v>
      </c>
      <c r="H328" s="1">
        <v>2</v>
      </c>
      <c r="I328" s="1" t="s">
        <v>433</v>
      </c>
      <c r="J328" s="1">
        <v>1.2</v>
      </c>
      <c r="K328" s="1" t="s">
        <v>434</v>
      </c>
      <c r="L328" s="1" t="s">
        <v>269</v>
      </c>
      <c r="M328" s="1" t="s">
        <v>132</v>
      </c>
      <c r="N328" s="1" t="s">
        <v>72</v>
      </c>
      <c r="O328" s="1" t="s">
        <v>64</v>
      </c>
      <c r="P328" s="1" t="s">
        <v>133</v>
      </c>
      <c r="R328" s="93">
        <v>43164</v>
      </c>
      <c r="S328" s="93" t="s">
        <v>2709</v>
      </c>
    </row>
    <row r="329" spans="1:19">
      <c r="A329" s="92">
        <v>43164</v>
      </c>
      <c r="C329" s="1" t="s">
        <v>56</v>
      </c>
      <c r="E329" s="98" t="s">
        <v>435</v>
      </c>
      <c r="F329" s="1" t="s">
        <v>436</v>
      </c>
      <c r="G329" s="1" t="s">
        <v>2198</v>
      </c>
      <c r="H329" s="1">
        <v>0.5</v>
      </c>
      <c r="I329" s="1" t="s">
        <v>433</v>
      </c>
      <c r="J329" s="1">
        <v>0.3</v>
      </c>
      <c r="K329" s="1" t="s">
        <v>437</v>
      </c>
      <c r="L329" s="1" t="s">
        <v>105</v>
      </c>
      <c r="M329" s="1" t="s">
        <v>62</v>
      </c>
      <c r="N329" s="1" t="s">
        <v>63</v>
      </c>
      <c r="O329" s="1" t="s">
        <v>64</v>
      </c>
      <c r="P329" s="1" t="s">
        <v>65</v>
      </c>
      <c r="R329" s="93">
        <v>43164</v>
      </c>
      <c r="S329" s="93" t="s">
        <v>2709</v>
      </c>
    </row>
    <row r="330" spans="1:19">
      <c r="A330" s="92">
        <v>43164</v>
      </c>
      <c r="C330" s="1" t="s">
        <v>56</v>
      </c>
      <c r="E330" s="98" t="s">
        <v>438</v>
      </c>
      <c r="F330" s="1" t="s">
        <v>439</v>
      </c>
      <c r="G330" s="1" t="s">
        <v>1992</v>
      </c>
      <c r="H330" s="1">
        <v>5</v>
      </c>
      <c r="I330" s="1" t="s">
        <v>440</v>
      </c>
      <c r="J330" s="1">
        <v>5</v>
      </c>
      <c r="K330" s="1" t="s">
        <v>149</v>
      </c>
      <c r="L330" s="1" t="s">
        <v>150</v>
      </c>
      <c r="M330" s="1" t="s">
        <v>132</v>
      </c>
      <c r="N330" s="1" t="s">
        <v>72</v>
      </c>
      <c r="O330" s="1" t="s">
        <v>64</v>
      </c>
      <c r="P330" s="1" t="s">
        <v>133</v>
      </c>
      <c r="R330" s="93">
        <v>43164</v>
      </c>
      <c r="S330" s="93" t="s">
        <v>2708</v>
      </c>
    </row>
    <row r="331" spans="1:19">
      <c r="A331" s="92">
        <v>43164</v>
      </c>
      <c r="C331" s="1" t="s">
        <v>56</v>
      </c>
      <c r="E331" s="98" t="s">
        <v>441</v>
      </c>
      <c r="F331" s="1" t="s">
        <v>442</v>
      </c>
      <c r="G331" s="1" t="s">
        <v>2199</v>
      </c>
      <c r="H331" s="1">
        <v>2</v>
      </c>
      <c r="I331" s="1" t="s">
        <v>440</v>
      </c>
      <c r="J331" s="1">
        <v>2</v>
      </c>
      <c r="K331" s="1" t="s">
        <v>443</v>
      </c>
      <c r="L331" s="1" t="s">
        <v>269</v>
      </c>
      <c r="M331" s="1" t="s">
        <v>132</v>
      </c>
      <c r="N331" s="1" t="s">
        <v>72</v>
      </c>
      <c r="O331" s="1" t="s">
        <v>64</v>
      </c>
      <c r="P331" s="1" t="s">
        <v>133</v>
      </c>
      <c r="R331" s="93">
        <v>43164</v>
      </c>
      <c r="S331" s="93" t="s">
        <v>2708</v>
      </c>
    </row>
    <row r="332" spans="1:19">
      <c r="A332" s="92">
        <v>43164</v>
      </c>
      <c r="C332" s="1" t="s">
        <v>56</v>
      </c>
      <c r="E332" s="98" t="s">
        <v>438</v>
      </c>
      <c r="F332" s="1" t="s">
        <v>439</v>
      </c>
      <c r="G332" s="1" t="s">
        <v>1992</v>
      </c>
      <c r="H332" s="1">
        <v>10</v>
      </c>
      <c r="I332" s="1" t="s">
        <v>440</v>
      </c>
      <c r="J332" s="1">
        <v>10</v>
      </c>
      <c r="K332" s="1" t="s">
        <v>149</v>
      </c>
      <c r="L332" s="1" t="s">
        <v>150</v>
      </c>
      <c r="M332" s="1" t="s">
        <v>132</v>
      </c>
      <c r="N332" s="1" t="s">
        <v>72</v>
      </c>
      <c r="O332" s="1" t="s">
        <v>64</v>
      </c>
      <c r="P332" s="1" t="s">
        <v>133</v>
      </c>
      <c r="R332" s="93">
        <v>43164</v>
      </c>
      <c r="S332" s="93" t="s">
        <v>2708</v>
      </c>
    </row>
    <row r="333" spans="1:19">
      <c r="A333" s="92">
        <v>43164</v>
      </c>
      <c r="C333" s="1" t="s">
        <v>56</v>
      </c>
      <c r="E333" s="98" t="s">
        <v>444</v>
      </c>
      <c r="F333" s="1" t="s">
        <v>445</v>
      </c>
      <c r="G333" s="1" t="s">
        <v>2200</v>
      </c>
      <c r="H333" s="1">
        <v>5</v>
      </c>
      <c r="I333" s="1" t="s">
        <v>440</v>
      </c>
      <c r="J333" s="1">
        <v>5</v>
      </c>
      <c r="K333" s="1" t="s">
        <v>175</v>
      </c>
      <c r="L333" s="1" t="s">
        <v>131</v>
      </c>
      <c r="M333" s="1" t="s">
        <v>132</v>
      </c>
      <c r="N333" s="1" t="s">
        <v>72</v>
      </c>
      <c r="O333" s="1" t="s">
        <v>64</v>
      </c>
      <c r="P333" s="1" t="s">
        <v>133</v>
      </c>
      <c r="R333" s="93">
        <v>43164</v>
      </c>
      <c r="S333" s="93" t="s">
        <v>2708</v>
      </c>
    </row>
    <row r="334" spans="1:19">
      <c r="A334" s="92">
        <v>43164</v>
      </c>
      <c r="C334" s="1" t="s">
        <v>56</v>
      </c>
      <c r="E334" s="98" t="s">
        <v>446</v>
      </c>
      <c r="F334" s="1" t="s">
        <v>447</v>
      </c>
      <c r="G334" s="1" t="s">
        <v>2201</v>
      </c>
      <c r="H334" s="1">
        <v>16.59</v>
      </c>
      <c r="I334" s="1" t="s">
        <v>440</v>
      </c>
      <c r="J334" s="1">
        <v>16.59</v>
      </c>
      <c r="K334" s="1" t="s">
        <v>309</v>
      </c>
      <c r="L334" s="1" t="s">
        <v>150</v>
      </c>
      <c r="M334" s="1" t="s">
        <v>132</v>
      </c>
      <c r="N334" s="1" t="s">
        <v>72</v>
      </c>
      <c r="O334" s="1" t="s">
        <v>64</v>
      </c>
      <c r="P334" s="1" t="s">
        <v>133</v>
      </c>
      <c r="R334" s="93">
        <v>43164</v>
      </c>
      <c r="S334" s="93" t="s">
        <v>2708</v>
      </c>
    </row>
    <row r="335" spans="1:19">
      <c r="A335" s="92">
        <v>43164</v>
      </c>
      <c r="C335" s="1" t="s">
        <v>56</v>
      </c>
      <c r="E335" s="98" t="s">
        <v>448</v>
      </c>
      <c r="F335" s="1" t="s">
        <v>449</v>
      </c>
      <c r="G335" s="1" t="s">
        <v>2202</v>
      </c>
      <c r="H335" s="1">
        <v>5.54</v>
      </c>
      <c r="I335" s="1" t="s">
        <v>440</v>
      </c>
      <c r="J335" s="1">
        <v>5.54</v>
      </c>
      <c r="K335" s="1" t="s">
        <v>136</v>
      </c>
      <c r="L335" s="1" t="s">
        <v>85</v>
      </c>
      <c r="M335" s="1" t="s">
        <v>71</v>
      </c>
      <c r="N335" s="1" t="s">
        <v>72</v>
      </c>
      <c r="O335" s="1" t="s">
        <v>64</v>
      </c>
      <c r="P335" s="1" t="s">
        <v>73</v>
      </c>
      <c r="R335" s="93">
        <v>43164</v>
      </c>
      <c r="S335" s="93" t="s">
        <v>2708</v>
      </c>
    </row>
    <row r="336" spans="1:19">
      <c r="A336" s="92">
        <v>43164</v>
      </c>
      <c r="C336" s="1" t="s">
        <v>56</v>
      </c>
      <c r="E336" s="98" t="s">
        <v>450</v>
      </c>
      <c r="F336" s="1" t="s">
        <v>451</v>
      </c>
      <c r="G336" s="1" t="s">
        <v>2203</v>
      </c>
      <c r="H336" s="1">
        <v>3.3</v>
      </c>
      <c r="I336" s="1" t="s">
        <v>440</v>
      </c>
      <c r="J336" s="1">
        <v>3.3</v>
      </c>
      <c r="K336" s="1" t="s">
        <v>296</v>
      </c>
      <c r="L336" s="1" t="s">
        <v>93</v>
      </c>
      <c r="M336" s="1" t="s">
        <v>94</v>
      </c>
      <c r="N336" s="1" t="s">
        <v>72</v>
      </c>
      <c r="O336" s="1" t="s">
        <v>64</v>
      </c>
      <c r="P336" s="1" t="s">
        <v>95</v>
      </c>
      <c r="R336" s="93">
        <v>43164</v>
      </c>
      <c r="S336" s="93" t="s">
        <v>2708</v>
      </c>
    </row>
    <row r="337" spans="1:19">
      <c r="A337" s="92">
        <v>43164</v>
      </c>
      <c r="C337" s="1" t="s">
        <v>56</v>
      </c>
      <c r="E337" s="98" t="s">
        <v>452</v>
      </c>
      <c r="F337" s="1" t="s">
        <v>296</v>
      </c>
      <c r="G337" s="1" t="s">
        <v>2204</v>
      </c>
      <c r="H337" s="1">
        <v>1.7</v>
      </c>
      <c r="I337" s="1" t="s">
        <v>440</v>
      </c>
      <c r="J337" s="1">
        <v>1.7</v>
      </c>
      <c r="K337" s="1" t="s">
        <v>296</v>
      </c>
      <c r="L337" s="1" t="s">
        <v>93</v>
      </c>
      <c r="M337" s="1" t="s">
        <v>94</v>
      </c>
      <c r="N337" s="1" t="s">
        <v>72</v>
      </c>
      <c r="O337" s="1" t="s">
        <v>64</v>
      </c>
      <c r="P337" s="1" t="s">
        <v>95</v>
      </c>
      <c r="R337" s="93">
        <v>43164</v>
      </c>
      <c r="S337" s="93" t="s">
        <v>2708</v>
      </c>
    </row>
    <row r="338" spans="1:19">
      <c r="A338" s="92">
        <v>43164</v>
      </c>
      <c r="C338" s="1" t="s">
        <v>56</v>
      </c>
      <c r="E338" s="98" t="s">
        <v>453</v>
      </c>
      <c r="F338" s="1" t="s">
        <v>454</v>
      </c>
      <c r="G338" s="1" t="s">
        <v>2205</v>
      </c>
      <c r="H338" s="1">
        <v>24</v>
      </c>
      <c r="I338" s="1" t="s">
        <v>440</v>
      </c>
      <c r="J338" s="1">
        <v>24</v>
      </c>
      <c r="K338" s="1" t="s">
        <v>312</v>
      </c>
      <c r="L338" s="1" t="s">
        <v>117</v>
      </c>
      <c r="M338" s="1" t="s">
        <v>2661</v>
      </c>
      <c r="N338" s="1" t="s">
        <v>72</v>
      </c>
      <c r="O338" s="1" t="s">
        <v>64</v>
      </c>
      <c r="P338" s="1" t="s">
        <v>53</v>
      </c>
      <c r="R338" s="93">
        <v>43164</v>
      </c>
      <c r="S338" s="93" t="s">
        <v>2708</v>
      </c>
    </row>
    <row r="339" spans="1:19">
      <c r="A339" s="92">
        <v>43164</v>
      </c>
      <c r="C339" s="1" t="s">
        <v>56</v>
      </c>
      <c r="E339" s="98" t="s">
        <v>455</v>
      </c>
      <c r="F339" s="1" t="s">
        <v>456</v>
      </c>
      <c r="G339" s="1" t="s">
        <v>2206</v>
      </c>
      <c r="H339" s="1">
        <v>20</v>
      </c>
      <c r="I339" s="1" t="s">
        <v>440</v>
      </c>
      <c r="J339" s="1">
        <v>20</v>
      </c>
      <c r="K339" s="1" t="s">
        <v>312</v>
      </c>
      <c r="L339" s="1" t="s">
        <v>117</v>
      </c>
      <c r="M339" s="1" t="s">
        <v>2661</v>
      </c>
      <c r="N339" s="1" t="s">
        <v>72</v>
      </c>
      <c r="O339" s="1" t="s">
        <v>64</v>
      </c>
      <c r="P339" s="1" t="s">
        <v>53</v>
      </c>
      <c r="R339" s="93">
        <v>43164</v>
      </c>
      <c r="S339" s="93" t="s">
        <v>2708</v>
      </c>
    </row>
    <row r="340" spans="1:19">
      <c r="A340" s="92">
        <v>43164</v>
      </c>
      <c r="C340" s="1" t="s">
        <v>56</v>
      </c>
      <c r="E340" s="98" t="s">
        <v>457</v>
      </c>
      <c r="F340" s="1" t="s">
        <v>458</v>
      </c>
      <c r="G340" s="1" t="s">
        <v>2207</v>
      </c>
      <c r="H340" s="1">
        <v>5.0056160000000007</v>
      </c>
      <c r="I340" s="1" t="s">
        <v>440</v>
      </c>
      <c r="J340" s="1">
        <v>5.0056160000000007</v>
      </c>
      <c r="K340" s="1" t="s">
        <v>70</v>
      </c>
      <c r="L340" s="1" t="s">
        <v>70</v>
      </c>
      <c r="M340" s="1" t="s">
        <v>71</v>
      </c>
      <c r="N340" s="1" t="s">
        <v>72</v>
      </c>
      <c r="O340" s="1" t="s">
        <v>64</v>
      </c>
      <c r="P340" s="1" t="s">
        <v>73</v>
      </c>
      <c r="R340" s="93">
        <v>43164</v>
      </c>
      <c r="S340" s="93" t="s">
        <v>2708</v>
      </c>
    </row>
    <row r="341" spans="1:19">
      <c r="A341" s="92">
        <v>43164</v>
      </c>
      <c r="C341" s="1" t="s">
        <v>56</v>
      </c>
      <c r="E341" s="98" t="s">
        <v>459</v>
      </c>
      <c r="F341" s="1" t="s">
        <v>460</v>
      </c>
      <c r="G341" s="1" t="s">
        <v>2208</v>
      </c>
      <c r="H341" s="1">
        <v>3.39</v>
      </c>
      <c r="I341" s="1" t="s">
        <v>440</v>
      </c>
      <c r="J341" s="1">
        <v>3.39</v>
      </c>
      <c r="K341" s="1" t="s">
        <v>461</v>
      </c>
      <c r="L341" s="1" t="s">
        <v>85</v>
      </c>
      <c r="M341" s="1" t="s">
        <v>71</v>
      </c>
      <c r="N341" s="1" t="s">
        <v>72</v>
      </c>
      <c r="O341" s="1" t="s">
        <v>64</v>
      </c>
      <c r="P341" s="1" t="s">
        <v>73</v>
      </c>
      <c r="R341" s="93">
        <v>43164</v>
      </c>
      <c r="S341" s="93" t="s">
        <v>2708</v>
      </c>
    </row>
    <row r="342" spans="1:19">
      <c r="A342" s="92">
        <v>43164</v>
      </c>
      <c r="C342" s="1" t="s">
        <v>66</v>
      </c>
      <c r="E342" s="98" t="s">
        <v>462</v>
      </c>
      <c r="F342" s="1" t="s">
        <v>463</v>
      </c>
      <c r="G342" s="1" t="s">
        <v>2209</v>
      </c>
      <c r="H342" s="1">
        <v>5</v>
      </c>
      <c r="I342" s="1" t="s">
        <v>440</v>
      </c>
      <c r="J342" s="1">
        <v>5</v>
      </c>
      <c r="K342" s="1" t="s">
        <v>155</v>
      </c>
      <c r="L342" s="1" t="s">
        <v>70</v>
      </c>
      <c r="M342" s="1" t="s">
        <v>71</v>
      </c>
      <c r="N342" s="1" t="s">
        <v>72</v>
      </c>
      <c r="O342" s="1" t="s">
        <v>64</v>
      </c>
      <c r="P342" s="1" t="s">
        <v>73</v>
      </c>
      <c r="R342" s="93">
        <v>43164</v>
      </c>
      <c r="S342" s="93" t="s">
        <v>2708</v>
      </c>
    </row>
    <row r="343" spans="1:19">
      <c r="A343" s="92">
        <v>43164</v>
      </c>
      <c r="C343" s="1" t="s">
        <v>56</v>
      </c>
      <c r="E343" s="98" t="s">
        <v>464</v>
      </c>
      <c r="F343" s="1" t="s">
        <v>465</v>
      </c>
      <c r="G343" s="1" t="s">
        <v>2210</v>
      </c>
      <c r="H343" s="1">
        <v>10</v>
      </c>
      <c r="I343" s="1" t="s">
        <v>440</v>
      </c>
      <c r="J343" s="1">
        <v>10</v>
      </c>
      <c r="K343" s="1" t="s">
        <v>269</v>
      </c>
      <c r="L343" s="1" t="s">
        <v>269</v>
      </c>
      <c r="M343" s="1" t="s">
        <v>132</v>
      </c>
      <c r="N343" s="1" t="s">
        <v>72</v>
      </c>
      <c r="O343" s="1" t="s">
        <v>64</v>
      </c>
      <c r="P343" s="1" t="s">
        <v>133</v>
      </c>
      <c r="R343" s="93">
        <v>43164</v>
      </c>
      <c r="S343" s="93" t="s">
        <v>2708</v>
      </c>
    </row>
    <row r="344" spans="1:19">
      <c r="A344" s="92">
        <v>43164</v>
      </c>
      <c r="C344" s="1" t="s">
        <v>56</v>
      </c>
      <c r="E344" s="98" t="s">
        <v>466</v>
      </c>
      <c r="F344" s="1" t="s">
        <v>467</v>
      </c>
      <c r="G344" s="1" t="s">
        <v>2211</v>
      </c>
      <c r="H344" s="1">
        <v>30</v>
      </c>
      <c r="I344" s="1" t="s">
        <v>440</v>
      </c>
      <c r="J344" s="1">
        <v>30</v>
      </c>
      <c r="K344" s="1" t="s">
        <v>280</v>
      </c>
      <c r="L344" s="1" t="s">
        <v>281</v>
      </c>
      <c r="M344" s="1" t="s">
        <v>71</v>
      </c>
      <c r="N344" s="1" t="s">
        <v>72</v>
      </c>
      <c r="O344" s="1" t="s">
        <v>64</v>
      </c>
      <c r="P344" s="1" t="s">
        <v>73</v>
      </c>
      <c r="R344" s="93">
        <v>43164</v>
      </c>
      <c r="S344" s="93" t="s">
        <v>2708</v>
      </c>
    </row>
    <row r="345" spans="1:19">
      <c r="A345" s="92">
        <v>43164</v>
      </c>
      <c r="C345" s="1" t="s">
        <v>56</v>
      </c>
      <c r="E345" s="98" t="s">
        <v>468</v>
      </c>
      <c r="F345" s="1" t="s">
        <v>469</v>
      </c>
      <c r="G345" s="1" t="s">
        <v>2212</v>
      </c>
      <c r="H345" s="1">
        <v>1</v>
      </c>
      <c r="I345" s="1" t="s">
        <v>440</v>
      </c>
      <c r="J345" s="1">
        <v>1</v>
      </c>
      <c r="K345" s="1" t="s">
        <v>124</v>
      </c>
      <c r="L345" s="1" t="s">
        <v>117</v>
      </c>
      <c r="M345" s="1" t="s">
        <v>2661</v>
      </c>
      <c r="N345" s="1" t="s">
        <v>72</v>
      </c>
      <c r="O345" s="1" t="s">
        <v>64</v>
      </c>
      <c r="P345" s="1" t="s">
        <v>53</v>
      </c>
      <c r="R345" s="93">
        <v>43164</v>
      </c>
      <c r="S345" s="93" t="s">
        <v>2708</v>
      </c>
    </row>
    <row r="346" spans="1:19">
      <c r="A346" s="92">
        <v>43164</v>
      </c>
      <c r="C346" s="1" t="s">
        <v>56</v>
      </c>
      <c r="E346" s="98" t="s">
        <v>470</v>
      </c>
      <c r="F346" s="1" t="s">
        <v>471</v>
      </c>
      <c r="G346" s="1" t="s">
        <v>2213</v>
      </c>
      <c r="H346" s="1">
        <v>7</v>
      </c>
      <c r="I346" s="1" t="s">
        <v>440</v>
      </c>
      <c r="J346" s="1">
        <v>7</v>
      </c>
      <c r="K346" s="1" t="s">
        <v>70</v>
      </c>
      <c r="L346" s="1" t="s">
        <v>70</v>
      </c>
      <c r="M346" s="1" t="s">
        <v>71</v>
      </c>
      <c r="N346" s="1" t="s">
        <v>72</v>
      </c>
      <c r="O346" s="1" t="s">
        <v>64</v>
      </c>
      <c r="P346" s="1" t="s">
        <v>73</v>
      </c>
      <c r="R346" s="93">
        <v>43164</v>
      </c>
      <c r="S346" s="93" t="s">
        <v>2708</v>
      </c>
    </row>
    <row r="347" spans="1:19">
      <c r="A347" s="92">
        <v>43164</v>
      </c>
      <c r="C347" s="1" t="s">
        <v>66</v>
      </c>
      <c r="E347" s="98" t="s">
        <v>475</v>
      </c>
      <c r="F347" s="1" t="s">
        <v>476</v>
      </c>
      <c r="G347" s="1" t="s">
        <v>2214</v>
      </c>
      <c r="H347" s="1">
        <v>11</v>
      </c>
      <c r="I347" s="1" t="s">
        <v>440</v>
      </c>
      <c r="J347" s="1">
        <v>11</v>
      </c>
      <c r="K347" s="1" t="s">
        <v>477</v>
      </c>
      <c r="L347" s="1" t="s">
        <v>85</v>
      </c>
      <c r="M347" s="1" t="s">
        <v>71</v>
      </c>
      <c r="N347" s="1" t="s">
        <v>72</v>
      </c>
      <c r="O347" s="1" t="s">
        <v>64</v>
      </c>
      <c r="P347" s="1" t="s">
        <v>73</v>
      </c>
      <c r="R347" s="93">
        <v>43164</v>
      </c>
      <c r="S347" s="93" t="s">
        <v>2708</v>
      </c>
    </row>
    <row r="348" spans="1:19">
      <c r="A348" s="92">
        <v>43165</v>
      </c>
      <c r="C348" s="1" t="s">
        <v>66</v>
      </c>
      <c r="E348" s="98" t="s">
        <v>481</v>
      </c>
      <c r="F348" s="1" t="s">
        <v>482</v>
      </c>
      <c r="G348" s="1" t="s">
        <v>2215</v>
      </c>
      <c r="H348" s="1">
        <v>0.1</v>
      </c>
      <c r="I348" s="1" t="s">
        <v>440</v>
      </c>
      <c r="J348" s="1">
        <v>0.1</v>
      </c>
      <c r="K348" s="1" t="s">
        <v>172</v>
      </c>
      <c r="L348" s="1" t="s">
        <v>131</v>
      </c>
      <c r="M348" s="1" t="s">
        <v>132</v>
      </c>
      <c r="N348" s="1" t="s">
        <v>72</v>
      </c>
      <c r="O348" s="1" t="s">
        <v>64</v>
      </c>
      <c r="P348" s="1" t="s">
        <v>133</v>
      </c>
      <c r="R348" s="93">
        <v>43165</v>
      </c>
      <c r="S348" s="93" t="s">
        <v>2708</v>
      </c>
    </row>
    <row r="349" spans="1:19">
      <c r="A349" s="92">
        <v>43165</v>
      </c>
      <c r="C349" s="1" t="s">
        <v>56</v>
      </c>
      <c r="E349" s="98" t="s">
        <v>483</v>
      </c>
      <c r="F349" s="1" t="s">
        <v>484</v>
      </c>
      <c r="G349" s="1" t="s">
        <v>2063</v>
      </c>
      <c r="H349" s="1">
        <v>5</v>
      </c>
      <c r="I349" s="1" t="s">
        <v>485</v>
      </c>
      <c r="J349" s="1">
        <v>5</v>
      </c>
      <c r="K349" s="1" t="s">
        <v>70</v>
      </c>
      <c r="L349" s="1" t="s">
        <v>70</v>
      </c>
      <c r="M349" s="1" t="s">
        <v>71</v>
      </c>
      <c r="N349" s="1" t="s">
        <v>72</v>
      </c>
      <c r="O349" s="1" t="s">
        <v>64</v>
      </c>
      <c r="P349" s="1" t="s">
        <v>73</v>
      </c>
      <c r="R349" s="93">
        <v>43165</v>
      </c>
      <c r="S349" s="93" t="s">
        <v>2710</v>
      </c>
    </row>
    <row r="350" spans="1:19">
      <c r="A350" s="92">
        <v>43165</v>
      </c>
      <c r="C350" s="1" t="s">
        <v>66</v>
      </c>
      <c r="E350" s="98" t="s">
        <v>486</v>
      </c>
      <c r="F350" s="1" t="s">
        <v>487</v>
      </c>
      <c r="G350" s="1" t="s">
        <v>2216</v>
      </c>
      <c r="H350" s="1">
        <v>2</v>
      </c>
      <c r="I350" s="1" t="s">
        <v>485</v>
      </c>
      <c r="J350" s="1">
        <v>2</v>
      </c>
      <c r="K350" s="1" t="s">
        <v>89</v>
      </c>
      <c r="L350" s="1" t="s">
        <v>70</v>
      </c>
      <c r="M350" s="1" t="s">
        <v>71</v>
      </c>
      <c r="N350" s="1" t="s">
        <v>72</v>
      </c>
      <c r="O350" s="1" t="s">
        <v>64</v>
      </c>
      <c r="P350" s="1" t="s">
        <v>73</v>
      </c>
      <c r="R350" s="93">
        <v>43165</v>
      </c>
      <c r="S350" s="93" t="s">
        <v>2710</v>
      </c>
    </row>
    <row r="351" spans="1:19">
      <c r="A351" s="92">
        <v>43165</v>
      </c>
      <c r="C351" s="1" t="s">
        <v>66</v>
      </c>
      <c r="E351" s="98" t="s">
        <v>488</v>
      </c>
      <c r="F351" s="1" t="s">
        <v>489</v>
      </c>
      <c r="G351" s="1" t="s">
        <v>2217</v>
      </c>
      <c r="H351" s="1">
        <v>5</v>
      </c>
      <c r="I351" s="1" t="s">
        <v>485</v>
      </c>
      <c r="J351" s="1">
        <v>5</v>
      </c>
      <c r="K351" s="1" t="s">
        <v>89</v>
      </c>
      <c r="L351" s="1" t="s">
        <v>70</v>
      </c>
      <c r="M351" s="1" t="s">
        <v>71</v>
      </c>
      <c r="N351" s="1" t="s">
        <v>72</v>
      </c>
      <c r="O351" s="1" t="s">
        <v>64</v>
      </c>
      <c r="P351" s="1" t="s">
        <v>73</v>
      </c>
      <c r="R351" s="93">
        <v>43165</v>
      </c>
      <c r="S351" s="93" t="s">
        <v>2710</v>
      </c>
    </row>
    <row r="352" spans="1:19">
      <c r="A352" s="92">
        <v>43165</v>
      </c>
      <c r="C352" s="1" t="s">
        <v>66</v>
      </c>
      <c r="E352" s="98" t="s">
        <v>490</v>
      </c>
      <c r="F352" s="1" t="s">
        <v>491</v>
      </c>
      <c r="G352" s="1" t="s">
        <v>2218</v>
      </c>
      <c r="H352" s="1">
        <v>0.02</v>
      </c>
      <c r="I352" s="1" t="s">
        <v>485</v>
      </c>
      <c r="J352" s="1">
        <v>0.02</v>
      </c>
      <c r="K352" s="1" t="s">
        <v>234</v>
      </c>
      <c r="L352" s="1" t="s">
        <v>131</v>
      </c>
      <c r="M352" s="1" t="s">
        <v>132</v>
      </c>
      <c r="N352" s="1" t="s">
        <v>72</v>
      </c>
      <c r="O352" s="1" t="s">
        <v>64</v>
      </c>
      <c r="P352" s="1" t="s">
        <v>133</v>
      </c>
      <c r="R352" s="93">
        <v>43165</v>
      </c>
      <c r="S352" s="93" t="s">
        <v>2710</v>
      </c>
    </row>
    <row r="353" spans="1:19">
      <c r="A353" s="92">
        <v>43165</v>
      </c>
      <c r="C353" s="1" t="s">
        <v>66</v>
      </c>
      <c r="E353" s="98" t="s">
        <v>492</v>
      </c>
      <c r="F353" s="1" t="s">
        <v>493</v>
      </c>
      <c r="G353" s="1" t="s">
        <v>2219</v>
      </c>
      <c r="H353" s="1">
        <v>0.01</v>
      </c>
      <c r="I353" s="1" t="s">
        <v>485</v>
      </c>
      <c r="J353" s="1">
        <v>0.01</v>
      </c>
      <c r="K353" s="1" t="s">
        <v>175</v>
      </c>
      <c r="L353" s="1" t="s">
        <v>131</v>
      </c>
      <c r="M353" s="1" t="s">
        <v>132</v>
      </c>
      <c r="N353" s="1" t="s">
        <v>72</v>
      </c>
      <c r="O353" s="1" t="s">
        <v>64</v>
      </c>
      <c r="P353" s="1" t="s">
        <v>133</v>
      </c>
      <c r="R353" s="93">
        <v>43165</v>
      </c>
      <c r="S353" s="93" t="s">
        <v>2710</v>
      </c>
    </row>
    <row r="354" spans="1:19">
      <c r="A354" s="92">
        <v>43165</v>
      </c>
      <c r="C354" s="1" t="s">
        <v>66</v>
      </c>
      <c r="E354" s="98" t="s">
        <v>494</v>
      </c>
      <c r="F354" s="1" t="s">
        <v>495</v>
      </c>
      <c r="G354" s="1" t="s">
        <v>2220</v>
      </c>
      <c r="H354" s="1">
        <v>20</v>
      </c>
      <c r="I354" s="1" t="s">
        <v>485</v>
      </c>
      <c r="J354" s="1">
        <v>20</v>
      </c>
      <c r="K354" s="1" t="s">
        <v>496</v>
      </c>
      <c r="L354" s="1" t="s">
        <v>117</v>
      </c>
      <c r="M354" s="1" t="s">
        <v>2661</v>
      </c>
      <c r="N354" s="1" t="s">
        <v>72</v>
      </c>
      <c r="O354" s="1" t="s">
        <v>64</v>
      </c>
      <c r="P354" s="1" t="s">
        <v>53</v>
      </c>
      <c r="R354" s="93">
        <v>43165</v>
      </c>
      <c r="S354" s="93" t="s">
        <v>2710</v>
      </c>
    </row>
    <row r="355" spans="1:19">
      <c r="A355" s="92">
        <v>43165</v>
      </c>
      <c r="C355" s="1" t="s">
        <v>66</v>
      </c>
      <c r="E355" s="98" t="s">
        <v>497</v>
      </c>
      <c r="F355" s="1" t="s">
        <v>498</v>
      </c>
      <c r="G355" s="1" t="s">
        <v>2221</v>
      </c>
      <c r="H355" s="1">
        <v>0.01</v>
      </c>
      <c r="I355" s="1" t="s">
        <v>485</v>
      </c>
      <c r="J355" s="1">
        <v>0.01</v>
      </c>
      <c r="K355" s="1" t="s">
        <v>234</v>
      </c>
      <c r="L355" s="1" t="s">
        <v>131</v>
      </c>
      <c r="M355" s="1" t="s">
        <v>132</v>
      </c>
      <c r="N355" s="1" t="s">
        <v>72</v>
      </c>
      <c r="O355" s="1" t="s">
        <v>64</v>
      </c>
      <c r="P355" s="1" t="s">
        <v>133</v>
      </c>
      <c r="R355" s="93">
        <v>43165</v>
      </c>
      <c r="S355" s="93" t="s">
        <v>2710</v>
      </c>
    </row>
    <row r="356" spans="1:19">
      <c r="A356" s="92">
        <v>43165</v>
      </c>
      <c r="C356" s="1" t="s">
        <v>56</v>
      </c>
      <c r="E356" s="98" t="s">
        <v>501</v>
      </c>
      <c r="F356" s="1" t="s">
        <v>502</v>
      </c>
      <c r="G356" s="1" t="s">
        <v>2222</v>
      </c>
      <c r="H356" s="1">
        <v>0.5</v>
      </c>
      <c r="I356" s="1" t="s">
        <v>485</v>
      </c>
      <c r="J356" s="1">
        <v>0.5</v>
      </c>
      <c r="K356" s="1" t="s">
        <v>70</v>
      </c>
      <c r="L356" s="1" t="s">
        <v>70</v>
      </c>
      <c r="M356" s="1" t="s">
        <v>71</v>
      </c>
      <c r="N356" s="1" t="s">
        <v>72</v>
      </c>
      <c r="O356" s="1" t="s">
        <v>64</v>
      </c>
      <c r="P356" s="1" t="s">
        <v>73</v>
      </c>
      <c r="R356" s="93">
        <v>43165</v>
      </c>
      <c r="S356" s="93" t="s">
        <v>2710</v>
      </c>
    </row>
    <row r="357" spans="1:19">
      <c r="A357" s="92">
        <v>43165</v>
      </c>
      <c r="C357" s="1" t="s">
        <v>66</v>
      </c>
      <c r="E357" s="98" t="s">
        <v>503</v>
      </c>
      <c r="F357" s="1" t="s">
        <v>504</v>
      </c>
      <c r="G357" s="1" t="s">
        <v>2223</v>
      </c>
      <c r="H357" s="1">
        <v>5</v>
      </c>
      <c r="I357" s="1" t="s">
        <v>485</v>
      </c>
      <c r="J357" s="1">
        <v>5</v>
      </c>
      <c r="K357" s="1" t="s">
        <v>175</v>
      </c>
      <c r="L357" s="1" t="s">
        <v>131</v>
      </c>
      <c r="M357" s="1" t="s">
        <v>132</v>
      </c>
      <c r="N357" s="1" t="s">
        <v>72</v>
      </c>
      <c r="O357" s="1" t="s">
        <v>64</v>
      </c>
      <c r="P357" s="1" t="s">
        <v>133</v>
      </c>
      <c r="R357" s="93">
        <v>43165</v>
      </c>
      <c r="S357" s="93" t="s">
        <v>2710</v>
      </c>
    </row>
    <row r="358" spans="1:19">
      <c r="A358" s="92">
        <v>43165</v>
      </c>
      <c r="C358" s="1" t="s">
        <v>66</v>
      </c>
      <c r="E358" s="98" t="s">
        <v>505</v>
      </c>
      <c r="F358" s="1" t="s">
        <v>506</v>
      </c>
      <c r="G358" s="1" t="s">
        <v>2224</v>
      </c>
      <c r="H358" s="1">
        <v>10</v>
      </c>
      <c r="I358" s="1" t="s">
        <v>485</v>
      </c>
      <c r="J358" s="1">
        <v>10</v>
      </c>
      <c r="K358" s="1" t="s">
        <v>353</v>
      </c>
      <c r="L358" s="1" t="s">
        <v>281</v>
      </c>
      <c r="M358" s="1" t="s">
        <v>71</v>
      </c>
      <c r="N358" s="1" t="s">
        <v>72</v>
      </c>
      <c r="O358" s="1" t="s">
        <v>64</v>
      </c>
      <c r="P358" s="1" t="s">
        <v>73</v>
      </c>
      <c r="R358" s="93">
        <v>43165</v>
      </c>
      <c r="S358" s="93" t="s">
        <v>2710</v>
      </c>
    </row>
    <row r="359" spans="1:19">
      <c r="A359" s="92">
        <v>43165</v>
      </c>
      <c r="C359" s="1" t="s">
        <v>66</v>
      </c>
      <c r="E359" s="98" t="s">
        <v>507</v>
      </c>
      <c r="F359" s="1" t="s">
        <v>508</v>
      </c>
      <c r="G359" s="1" t="s">
        <v>2225</v>
      </c>
      <c r="H359" s="1">
        <v>3</v>
      </c>
      <c r="I359" s="1" t="s">
        <v>485</v>
      </c>
      <c r="J359" s="1">
        <v>3</v>
      </c>
      <c r="K359" s="1" t="s">
        <v>114</v>
      </c>
      <c r="L359" s="1" t="s">
        <v>85</v>
      </c>
      <c r="M359" s="1" t="s">
        <v>71</v>
      </c>
      <c r="N359" s="1" t="s">
        <v>72</v>
      </c>
      <c r="O359" s="1" t="s">
        <v>64</v>
      </c>
      <c r="P359" s="1" t="s">
        <v>73</v>
      </c>
      <c r="R359" s="93">
        <v>43165</v>
      </c>
      <c r="S359" s="93" t="s">
        <v>2710</v>
      </c>
    </row>
    <row r="360" spans="1:19">
      <c r="A360" s="92">
        <v>43165</v>
      </c>
      <c r="C360" s="1" t="s">
        <v>56</v>
      </c>
      <c r="E360" s="98" t="s">
        <v>509</v>
      </c>
      <c r="F360" s="1" t="s">
        <v>510</v>
      </c>
      <c r="G360" s="1" t="s">
        <v>2226</v>
      </c>
      <c r="H360" s="1">
        <v>1</v>
      </c>
      <c r="I360" s="1" t="s">
        <v>485</v>
      </c>
      <c r="J360" s="1">
        <v>1</v>
      </c>
      <c r="K360" s="1" t="s">
        <v>127</v>
      </c>
      <c r="L360" s="1" t="s">
        <v>110</v>
      </c>
      <c r="M360" s="1" t="s">
        <v>52</v>
      </c>
      <c r="N360" s="1" t="s">
        <v>63</v>
      </c>
      <c r="O360" s="1" t="s">
        <v>64</v>
      </c>
      <c r="P360" s="1" t="s">
        <v>111</v>
      </c>
      <c r="R360" s="93">
        <v>43165</v>
      </c>
      <c r="S360" s="93" t="s">
        <v>2710</v>
      </c>
    </row>
    <row r="361" spans="1:19">
      <c r="A361" s="92">
        <v>43165</v>
      </c>
      <c r="C361" s="1" t="s">
        <v>66</v>
      </c>
      <c r="E361" s="98" t="s">
        <v>511</v>
      </c>
      <c r="F361" s="1" t="s">
        <v>512</v>
      </c>
      <c r="G361" s="1" t="s">
        <v>2227</v>
      </c>
      <c r="H361" s="1">
        <v>5</v>
      </c>
      <c r="I361" s="1" t="s">
        <v>485</v>
      </c>
      <c r="J361" s="1">
        <v>5</v>
      </c>
      <c r="K361" s="1" t="s">
        <v>124</v>
      </c>
      <c r="L361" s="1" t="s">
        <v>117</v>
      </c>
      <c r="M361" s="1" t="s">
        <v>2661</v>
      </c>
      <c r="N361" s="1" t="s">
        <v>72</v>
      </c>
      <c r="O361" s="1" t="s">
        <v>64</v>
      </c>
      <c r="P361" s="1" t="s">
        <v>53</v>
      </c>
      <c r="R361" s="93">
        <v>43165</v>
      </c>
      <c r="S361" s="93" t="s">
        <v>2710</v>
      </c>
    </row>
    <row r="362" spans="1:19">
      <c r="A362" s="92">
        <v>43166</v>
      </c>
      <c r="C362" s="1" t="s">
        <v>56</v>
      </c>
      <c r="E362" s="98" t="s">
        <v>513</v>
      </c>
      <c r="F362" s="1" t="s">
        <v>514</v>
      </c>
      <c r="G362" s="1" t="s">
        <v>2228</v>
      </c>
      <c r="H362" s="1">
        <v>1.24</v>
      </c>
      <c r="I362" s="1" t="s">
        <v>485</v>
      </c>
      <c r="J362" s="1">
        <v>1.24</v>
      </c>
      <c r="K362" s="1" t="s">
        <v>172</v>
      </c>
      <c r="L362" s="1" t="s">
        <v>131</v>
      </c>
      <c r="M362" s="1" t="s">
        <v>132</v>
      </c>
      <c r="N362" s="1" t="s">
        <v>72</v>
      </c>
      <c r="O362" s="1" t="s">
        <v>64</v>
      </c>
      <c r="P362" s="1" t="s">
        <v>133</v>
      </c>
      <c r="R362" s="93">
        <v>43166</v>
      </c>
      <c r="S362" s="93" t="s">
        <v>2710</v>
      </c>
    </row>
    <row r="363" spans="1:19">
      <c r="A363" s="92">
        <v>43166</v>
      </c>
      <c r="C363" s="1" t="s">
        <v>56</v>
      </c>
      <c r="E363" s="98" t="s">
        <v>515</v>
      </c>
      <c r="F363" s="1" t="s">
        <v>516</v>
      </c>
      <c r="G363" s="1" t="s">
        <v>2229</v>
      </c>
      <c r="H363" s="1">
        <v>5</v>
      </c>
      <c r="I363" s="1" t="s">
        <v>485</v>
      </c>
      <c r="J363" s="1">
        <v>5</v>
      </c>
      <c r="K363" s="1" t="s">
        <v>281</v>
      </c>
      <c r="L363" s="1" t="s">
        <v>281</v>
      </c>
      <c r="M363" s="1" t="s">
        <v>71</v>
      </c>
      <c r="N363" s="1" t="s">
        <v>72</v>
      </c>
      <c r="O363" s="1" t="s">
        <v>64</v>
      </c>
      <c r="P363" s="1" t="s">
        <v>73</v>
      </c>
      <c r="R363" s="93">
        <v>43166</v>
      </c>
      <c r="S363" s="93" t="s">
        <v>2710</v>
      </c>
    </row>
    <row r="364" spans="1:19">
      <c r="A364" s="92">
        <v>43165</v>
      </c>
      <c r="C364" s="1" t="s">
        <v>56</v>
      </c>
      <c r="E364" s="98" t="s">
        <v>517</v>
      </c>
      <c r="F364" s="1" t="s">
        <v>518</v>
      </c>
      <c r="G364" s="1" t="s">
        <v>2230</v>
      </c>
      <c r="H364" s="1">
        <v>11</v>
      </c>
      <c r="I364" s="1" t="s">
        <v>519</v>
      </c>
      <c r="J364" s="1">
        <v>6.6</v>
      </c>
      <c r="K364" s="1" t="s">
        <v>124</v>
      </c>
      <c r="L364" s="1" t="s">
        <v>117</v>
      </c>
      <c r="M364" s="1" t="s">
        <v>2661</v>
      </c>
      <c r="N364" s="1" t="s">
        <v>72</v>
      </c>
      <c r="O364" s="1" t="s">
        <v>64</v>
      </c>
      <c r="P364" s="1" t="s">
        <v>53</v>
      </c>
      <c r="R364" s="93">
        <v>43165</v>
      </c>
      <c r="S364" s="93" t="s">
        <v>2711</v>
      </c>
    </row>
    <row r="365" spans="1:19">
      <c r="A365" s="92">
        <v>43165</v>
      </c>
      <c r="C365" s="1" t="s">
        <v>56</v>
      </c>
      <c r="E365" s="98" t="s">
        <v>522</v>
      </c>
      <c r="F365" s="1" t="s">
        <v>523</v>
      </c>
      <c r="G365" s="1" t="s">
        <v>2231</v>
      </c>
      <c r="H365" s="1">
        <v>2</v>
      </c>
      <c r="I365" s="1" t="s">
        <v>519</v>
      </c>
      <c r="J365" s="1">
        <v>1.2</v>
      </c>
      <c r="K365" s="1" t="s">
        <v>124</v>
      </c>
      <c r="L365" s="1" t="s">
        <v>117</v>
      </c>
      <c r="M365" s="1" t="s">
        <v>2661</v>
      </c>
      <c r="N365" s="1" t="s">
        <v>72</v>
      </c>
      <c r="O365" s="1" t="s">
        <v>64</v>
      </c>
      <c r="P365" s="1" t="s">
        <v>53</v>
      </c>
      <c r="R365" s="93">
        <v>43165</v>
      </c>
      <c r="S365" s="93" t="s">
        <v>2711</v>
      </c>
    </row>
    <row r="366" spans="1:19">
      <c r="A366" s="92">
        <v>43165</v>
      </c>
      <c r="C366" s="1" t="s">
        <v>56</v>
      </c>
      <c r="E366" s="98" t="s">
        <v>528</v>
      </c>
      <c r="F366" s="1" t="s">
        <v>529</v>
      </c>
      <c r="G366" s="1" t="s">
        <v>2232</v>
      </c>
      <c r="H366" s="1">
        <v>6</v>
      </c>
      <c r="I366" s="1" t="s">
        <v>519</v>
      </c>
      <c r="J366" s="1">
        <v>3.6</v>
      </c>
      <c r="K366" s="1" t="s">
        <v>309</v>
      </c>
      <c r="L366" s="1" t="s">
        <v>150</v>
      </c>
      <c r="M366" s="1" t="s">
        <v>132</v>
      </c>
      <c r="N366" s="1" t="s">
        <v>72</v>
      </c>
      <c r="O366" s="1" t="s">
        <v>64</v>
      </c>
      <c r="P366" s="1" t="s">
        <v>133</v>
      </c>
      <c r="R366" s="93">
        <v>43165</v>
      </c>
      <c r="S366" s="93" t="s">
        <v>2711</v>
      </c>
    </row>
    <row r="367" spans="1:19">
      <c r="A367" s="92">
        <v>43165</v>
      </c>
      <c r="C367" s="1" t="s">
        <v>66</v>
      </c>
      <c r="E367" s="98" t="s">
        <v>530</v>
      </c>
      <c r="F367" s="1" t="s">
        <v>531</v>
      </c>
      <c r="G367" s="1" t="s">
        <v>2233</v>
      </c>
      <c r="H367" s="1">
        <v>5</v>
      </c>
      <c r="I367" s="1" t="s">
        <v>519</v>
      </c>
      <c r="J367" s="1">
        <v>3</v>
      </c>
      <c r="K367" s="1" t="s">
        <v>242</v>
      </c>
      <c r="L367" s="1" t="s">
        <v>93</v>
      </c>
      <c r="M367" s="1" t="s">
        <v>94</v>
      </c>
      <c r="N367" s="1" t="s">
        <v>72</v>
      </c>
      <c r="O367" s="1" t="s">
        <v>64</v>
      </c>
      <c r="P367" s="1" t="s">
        <v>95</v>
      </c>
      <c r="R367" s="93">
        <v>43165</v>
      </c>
      <c r="S367" s="93" t="s">
        <v>2711</v>
      </c>
    </row>
    <row r="368" spans="1:19">
      <c r="A368" s="92">
        <v>43165</v>
      </c>
      <c r="C368" s="1" t="s">
        <v>66</v>
      </c>
      <c r="E368" s="98" t="s">
        <v>419</v>
      </c>
      <c r="F368" s="1" t="s">
        <v>420</v>
      </c>
      <c r="G368" s="1" t="s">
        <v>2193</v>
      </c>
      <c r="H368" s="1">
        <v>10</v>
      </c>
      <c r="I368" s="1" t="s">
        <v>533</v>
      </c>
      <c r="J368" s="1">
        <v>3</v>
      </c>
      <c r="K368" s="1" t="s">
        <v>206</v>
      </c>
      <c r="L368" s="1" t="s">
        <v>70</v>
      </c>
      <c r="M368" s="1" t="s">
        <v>71</v>
      </c>
      <c r="N368" s="1" t="s">
        <v>72</v>
      </c>
      <c r="O368" s="1" t="s">
        <v>64</v>
      </c>
      <c r="P368" s="1" t="s">
        <v>73</v>
      </c>
      <c r="R368" s="93">
        <v>43165</v>
      </c>
      <c r="S368" s="93" t="s">
        <v>2712</v>
      </c>
    </row>
    <row r="369" spans="1:19">
      <c r="A369" s="92">
        <v>43165</v>
      </c>
      <c r="C369" s="1" t="s">
        <v>56</v>
      </c>
      <c r="E369" s="98" t="s">
        <v>534</v>
      </c>
      <c r="F369" s="1" t="s">
        <v>535</v>
      </c>
      <c r="G369" s="1" t="s">
        <v>2234</v>
      </c>
      <c r="H369" s="1">
        <v>1</v>
      </c>
      <c r="I369" s="1" t="s">
        <v>533</v>
      </c>
      <c r="J369" s="1">
        <v>0.3</v>
      </c>
      <c r="K369" s="1" t="s">
        <v>536</v>
      </c>
      <c r="L369" s="1" t="s">
        <v>193</v>
      </c>
      <c r="M369" s="1" t="s">
        <v>62</v>
      </c>
      <c r="N369" s="1" t="s">
        <v>63</v>
      </c>
      <c r="O369" s="1" t="s">
        <v>64</v>
      </c>
      <c r="P369" s="1" t="s">
        <v>65</v>
      </c>
      <c r="R369" s="93">
        <v>43165</v>
      </c>
      <c r="S369" s="93" t="s">
        <v>2712</v>
      </c>
    </row>
    <row r="370" spans="1:19">
      <c r="A370" s="92">
        <v>43165</v>
      </c>
      <c r="C370" s="1" t="s">
        <v>56</v>
      </c>
      <c r="E370" s="98" t="s">
        <v>539</v>
      </c>
      <c r="F370" s="1" t="s">
        <v>540</v>
      </c>
      <c r="G370" s="1" t="s">
        <v>2235</v>
      </c>
      <c r="H370" s="1">
        <v>5</v>
      </c>
      <c r="I370" s="1" t="s">
        <v>533</v>
      </c>
      <c r="J370" s="1">
        <v>1.5</v>
      </c>
      <c r="K370" s="1" t="s">
        <v>242</v>
      </c>
      <c r="L370" s="1" t="s">
        <v>93</v>
      </c>
      <c r="M370" s="1" t="s">
        <v>94</v>
      </c>
      <c r="N370" s="1" t="s">
        <v>72</v>
      </c>
      <c r="O370" s="1" t="s">
        <v>64</v>
      </c>
      <c r="P370" s="1" t="s">
        <v>95</v>
      </c>
      <c r="R370" s="93">
        <v>43165</v>
      </c>
      <c r="S370" s="93" t="s">
        <v>2712</v>
      </c>
    </row>
    <row r="371" spans="1:19">
      <c r="A371" s="92">
        <v>43165</v>
      </c>
      <c r="C371" s="1" t="s">
        <v>56</v>
      </c>
      <c r="E371" s="98" t="s">
        <v>541</v>
      </c>
      <c r="F371" s="1" t="s">
        <v>542</v>
      </c>
      <c r="G371" s="1" t="s">
        <v>2079</v>
      </c>
      <c r="H371" s="1">
        <v>0.05</v>
      </c>
      <c r="I371" s="1" t="s">
        <v>533</v>
      </c>
      <c r="J371" s="1">
        <v>1.4999999999999999E-2</v>
      </c>
      <c r="K371" s="1" t="s">
        <v>172</v>
      </c>
      <c r="L371" s="1" t="s">
        <v>131</v>
      </c>
      <c r="M371" s="1" t="s">
        <v>132</v>
      </c>
      <c r="N371" s="1" t="s">
        <v>72</v>
      </c>
      <c r="O371" s="1" t="s">
        <v>64</v>
      </c>
      <c r="P371" s="1" t="s">
        <v>133</v>
      </c>
      <c r="R371" s="93">
        <v>43165</v>
      </c>
      <c r="S371" s="93" t="s">
        <v>2712</v>
      </c>
    </row>
    <row r="372" spans="1:19">
      <c r="A372" s="92">
        <v>43165</v>
      </c>
      <c r="C372" s="1" t="s">
        <v>56</v>
      </c>
      <c r="E372" s="98" t="s">
        <v>319</v>
      </c>
      <c r="F372" s="1" t="s">
        <v>320</v>
      </c>
      <c r="G372" s="1" t="s">
        <v>2155</v>
      </c>
      <c r="H372" s="1">
        <v>20</v>
      </c>
      <c r="I372" s="1" t="s">
        <v>533</v>
      </c>
      <c r="J372" s="1">
        <v>6</v>
      </c>
      <c r="K372" s="1" t="s">
        <v>105</v>
      </c>
      <c r="L372" s="1" t="s">
        <v>105</v>
      </c>
      <c r="M372" s="1" t="s">
        <v>62</v>
      </c>
      <c r="N372" s="1" t="s">
        <v>63</v>
      </c>
      <c r="O372" s="1" t="s">
        <v>64</v>
      </c>
      <c r="P372" s="1" t="s">
        <v>65</v>
      </c>
      <c r="R372" s="93">
        <v>43165</v>
      </c>
      <c r="S372" s="93" t="s">
        <v>2712</v>
      </c>
    </row>
    <row r="373" spans="1:19">
      <c r="A373" s="92">
        <v>43165</v>
      </c>
      <c r="C373" s="1" t="s">
        <v>56</v>
      </c>
      <c r="E373" s="98" t="s">
        <v>543</v>
      </c>
      <c r="F373" s="1" t="s">
        <v>544</v>
      </c>
      <c r="G373" s="1" t="s">
        <v>2236</v>
      </c>
      <c r="H373" s="1">
        <v>2</v>
      </c>
      <c r="I373" s="1" t="s">
        <v>533</v>
      </c>
      <c r="J373" s="1">
        <v>0.6</v>
      </c>
      <c r="K373" s="1" t="s">
        <v>167</v>
      </c>
      <c r="L373" s="1" t="s">
        <v>117</v>
      </c>
      <c r="M373" s="1" t="s">
        <v>2661</v>
      </c>
      <c r="N373" s="1" t="s">
        <v>72</v>
      </c>
      <c r="O373" s="1" t="s">
        <v>64</v>
      </c>
      <c r="P373" s="1" t="s">
        <v>53</v>
      </c>
      <c r="R373" s="93">
        <v>43165</v>
      </c>
      <c r="S373" s="93" t="s">
        <v>2712</v>
      </c>
    </row>
    <row r="374" spans="1:19">
      <c r="A374" s="92">
        <v>43165</v>
      </c>
      <c r="C374" s="1" t="s">
        <v>66</v>
      </c>
      <c r="E374" s="98" t="s">
        <v>545</v>
      </c>
      <c r="F374" s="1" t="s">
        <v>546</v>
      </c>
      <c r="G374" s="1" t="s">
        <v>2237</v>
      </c>
      <c r="H374" s="1">
        <v>0.3</v>
      </c>
      <c r="I374" s="1" t="s">
        <v>533</v>
      </c>
      <c r="J374" s="1">
        <v>0.09</v>
      </c>
      <c r="K374" s="1" t="s">
        <v>167</v>
      </c>
      <c r="L374" s="1" t="s">
        <v>117</v>
      </c>
      <c r="M374" s="1" t="s">
        <v>2661</v>
      </c>
      <c r="N374" s="1" t="s">
        <v>72</v>
      </c>
      <c r="O374" s="1" t="s">
        <v>64</v>
      </c>
      <c r="P374" s="1" t="s">
        <v>53</v>
      </c>
      <c r="R374" s="93">
        <v>43165</v>
      </c>
      <c r="S374" s="93" t="s">
        <v>2712</v>
      </c>
    </row>
    <row r="375" spans="1:19">
      <c r="A375" s="92">
        <v>43165</v>
      </c>
      <c r="C375" s="1" t="s">
        <v>56</v>
      </c>
      <c r="E375" s="98" t="s">
        <v>547</v>
      </c>
      <c r="F375" s="1" t="s">
        <v>548</v>
      </c>
      <c r="G375" s="1" t="s">
        <v>2238</v>
      </c>
      <c r="H375" s="1">
        <v>2</v>
      </c>
      <c r="I375" s="1" t="s">
        <v>533</v>
      </c>
      <c r="J375" s="1">
        <v>0.6</v>
      </c>
      <c r="K375" s="1" t="s">
        <v>403</v>
      </c>
      <c r="L375" s="1" t="s">
        <v>216</v>
      </c>
      <c r="M375" s="1" t="s">
        <v>52</v>
      </c>
      <c r="N375" s="1" t="s">
        <v>63</v>
      </c>
      <c r="O375" s="1" t="s">
        <v>64</v>
      </c>
      <c r="P375" s="1" t="s">
        <v>111</v>
      </c>
      <c r="R375" s="93">
        <v>43165</v>
      </c>
      <c r="S375" s="93" t="s">
        <v>2712</v>
      </c>
    </row>
    <row r="376" spans="1:19">
      <c r="A376" s="92">
        <v>43165</v>
      </c>
      <c r="C376" s="1" t="s">
        <v>56</v>
      </c>
      <c r="E376" s="98" t="s">
        <v>539</v>
      </c>
      <c r="F376" s="1" t="s">
        <v>540</v>
      </c>
      <c r="G376" s="1" t="s">
        <v>2235</v>
      </c>
      <c r="H376" s="1">
        <v>13</v>
      </c>
      <c r="I376" s="1" t="s">
        <v>533</v>
      </c>
      <c r="J376" s="1">
        <v>3.9</v>
      </c>
      <c r="K376" s="1" t="s">
        <v>242</v>
      </c>
      <c r="L376" s="1" t="s">
        <v>93</v>
      </c>
      <c r="M376" s="1" t="s">
        <v>94</v>
      </c>
      <c r="N376" s="1" t="s">
        <v>72</v>
      </c>
      <c r="O376" s="1" t="s">
        <v>64</v>
      </c>
      <c r="P376" s="1" t="s">
        <v>95</v>
      </c>
      <c r="R376" s="93">
        <v>43165</v>
      </c>
      <c r="S376" s="93" t="s">
        <v>2712</v>
      </c>
    </row>
    <row r="377" spans="1:19">
      <c r="A377" s="92">
        <v>43165</v>
      </c>
      <c r="C377" s="1" t="s">
        <v>66</v>
      </c>
      <c r="E377" s="98" t="s">
        <v>549</v>
      </c>
      <c r="F377" s="1" t="s">
        <v>550</v>
      </c>
      <c r="G377" s="1" t="s">
        <v>2239</v>
      </c>
      <c r="H377" s="1">
        <v>5</v>
      </c>
      <c r="I377" s="1" t="s">
        <v>533</v>
      </c>
      <c r="J377" s="1">
        <v>1.5</v>
      </c>
      <c r="K377" s="1" t="s">
        <v>551</v>
      </c>
      <c r="L377" s="1" t="s">
        <v>105</v>
      </c>
      <c r="M377" s="1" t="s">
        <v>62</v>
      </c>
      <c r="N377" s="1" t="s">
        <v>63</v>
      </c>
      <c r="O377" s="1" t="s">
        <v>64</v>
      </c>
      <c r="P377" s="1" t="s">
        <v>65</v>
      </c>
      <c r="R377" s="93">
        <v>43165</v>
      </c>
      <c r="S377" s="93" t="s">
        <v>2712</v>
      </c>
    </row>
    <row r="378" spans="1:19">
      <c r="A378" s="92">
        <v>43165</v>
      </c>
      <c r="C378" s="1" t="s">
        <v>56</v>
      </c>
      <c r="E378" s="98" t="s">
        <v>336</v>
      </c>
      <c r="F378" s="1" t="s">
        <v>337</v>
      </c>
      <c r="G378" s="1" t="s">
        <v>2163</v>
      </c>
      <c r="H378" s="1">
        <v>0.5</v>
      </c>
      <c r="I378" s="1" t="s">
        <v>533</v>
      </c>
      <c r="J378" s="1">
        <v>0.15</v>
      </c>
      <c r="K378" s="1" t="s">
        <v>124</v>
      </c>
      <c r="L378" s="1" t="s">
        <v>117</v>
      </c>
      <c r="M378" s="1" t="s">
        <v>2661</v>
      </c>
      <c r="N378" s="1" t="s">
        <v>72</v>
      </c>
      <c r="O378" s="1" t="s">
        <v>64</v>
      </c>
      <c r="P378" s="1" t="s">
        <v>53</v>
      </c>
      <c r="R378" s="93">
        <v>43165</v>
      </c>
      <c r="S378" s="93" t="s">
        <v>2712</v>
      </c>
    </row>
    <row r="379" spans="1:19">
      <c r="A379" s="92">
        <v>43165</v>
      </c>
      <c r="C379" s="1" t="s">
        <v>56</v>
      </c>
      <c r="E379" s="98" t="s">
        <v>348</v>
      </c>
      <c r="F379" s="1" t="s">
        <v>349</v>
      </c>
      <c r="G379" s="1" t="s">
        <v>2168</v>
      </c>
      <c r="H379" s="1">
        <v>1.75</v>
      </c>
      <c r="I379" s="1" t="s">
        <v>533</v>
      </c>
      <c r="J379" s="1">
        <v>0.52500000000000002</v>
      </c>
      <c r="K379" s="1" t="s">
        <v>101</v>
      </c>
      <c r="L379" s="1" t="s">
        <v>102</v>
      </c>
      <c r="M379" s="1" t="s">
        <v>94</v>
      </c>
      <c r="N379" s="1" t="s">
        <v>72</v>
      </c>
      <c r="O379" s="1" t="s">
        <v>64</v>
      </c>
      <c r="P379" s="1" t="s">
        <v>95</v>
      </c>
      <c r="R379" s="93">
        <v>43165</v>
      </c>
      <c r="S379" s="93" t="s">
        <v>2712</v>
      </c>
    </row>
    <row r="380" spans="1:19">
      <c r="A380" s="92">
        <v>43165</v>
      </c>
      <c r="C380" s="1" t="s">
        <v>56</v>
      </c>
      <c r="E380" s="98" t="s">
        <v>552</v>
      </c>
      <c r="F380" s="1" t="s">
        <v>553</v>
      </c>
      <c r="G380" s="1" t="s">
        <v>2240</v>
      </c>
      <c r="H380" s="1">
        <v>5</v>
      </c>
      <c r="I380" s="1" t="s">
        <v>533</v>
      </c>
      <c r="J380" s="1">
        <v>1.5</v>
      </c>
      <c r="K380" s="1" t="s">
        <v>201</v>
      </c>
      <c r="L380" s="1" t="s">
        <v>61</v>
      </c>
      <c r="M380" s="1" t="s">
        <v>62</v>
      </c>
      <c r="N380" s="1" t="s">
        <v>63</v>
      </c>
      <c r="O380" s="1" t="s">
        <v>64</v>
      </c>
      <c r="P380" s="1" t="s">
        <v>65</v>
      </c>
      <c r="R380" s="93">
        <v>43165</v>
      </c>
      <c r="S380" s="93" t="s">
        <v>2712</v>
      </c>
    </row>
    <row r="381" spans="1:19">
      <c r="A381" s="92">
        <v>43165</v>
      </c>
      <c r="C381" s="1" t="s">
        <v>56</v>
      </c>
      <c r="E381" s="98" t="s">
        <v>554</v>
      </c>
      <c r="F381" s="1" t="s">
        <v>555</v>
      </c>
      <c r="G381" s="1" t="s">
        <v>2241</v>
      </c>
      <c r="H381" s="1">
        <v>11</v>
      </c>
      <c r="I381" s="1" t="s">
        <v>533</v>
      </c>
      <c r="J381" s="1">
        <v>3.3</v>
      </c>
      <c r="K381" s="1" t="s">
        <v>496</v>
      </c>
      <c r="L381" s="1" t="s">
        <v>117</v>
      </c>
      <c r="M381" s="1" t="s">
        <v>2661</v>
      </c>
      <c r="N381" s="1" t="s">
        <v>72</v>
      </c>
      <c r="O381" s="1" t="s">
        <v>64</v>
      </c>
      <c r="P381" s="1" t="s">
        <v>53</v>
      </c>
      <c r="R381" s="93">
        <v>43165</v>
      </c>
      <c r="S381" s="93" t="s">
        <v>2712</v>
      </c>
    </row>
    <row r="382" spans="1:19">
      <c r="A382" s="92">
        <v>43165</v>
      </c>
      <c r="C382" s="1" t="s">
        <v>56</v>
      </c>
      <c r="E382" s="98" t="s">
        <v>556</v>
      </c>
      <c r="F382" s="1" t="s">
        <v>557</v>
      </c>
      <c r="G382" s="1" t="s">
        <v>2242</v>
      </c>
      <c r="H382" s="1">
        <v>6</v>
      </c>
      <c r="I382" s="1" t="s">
        <v>533</v>
      </c>
      <c r="J382" s="1">
        <v>1.8</v>
      </c>
      <c r="K382" s="1" t="s">
        <v>558</v>
      </c>
      <c r="L382" s="1" t="s">
        <v>110</v>
      </c>
      <c r="M382" s="1" t="s">
        <v>52</v>
      </c>
      <c r="N382" s="1" t="s">
        <v>63</v>
      </c>
      <c r="O382" s="1" t="s">
        <v>64</v>
      </c>
      <c r="P382" s="1" t="s">
        <v>111</v>
      </c>
      <c r="R382" s="93">
        <v>43165</v>
      </c>
      <c r="S382" s="93" t="s">
        <v>2712</v>
      </c>
    </row>
    <row r="383" spans="1:19">
      <c r="A383" s="92">
        <v>43165</v>
      </c>
      <c r="C383" s="1" t="s">
        <v>66</v>
      </c>
      <c r="E383" s="98" t="s">
        <v>559</v>
      </c>
      <c r="F383" s="1" t="s">
        <v>560</v>
      </c>
      <c r="G383" s="1" t="s">
        <v>2243</v>
      </c>
      <c r="H383" s="1">
        <v>2</v>
      </c>
      <c r="I383" s="1" t="s">
        <v>533</v>
      </c>
      <c r="J383" s="1">
        <v>0.6</v>
      </c>
      <c r="K383" s="1" t="s">
        <v>277</v>
      </c>
      <c r="L383" s="1" t="s">
        <v>269</v>
      </c>
      <c r="M383" s="1" t="s">
        <v>132</v>
      </c>
      <c r="N383" s="1" t="s">
        <v>72</v>
      </c>
      <c r="O383" s="1" t="s">
        <v>64</v>
      </c>
      <c r="P383" s="1" t="s">
        <v>133</v>
      </c>
      <c r="R383" s="93">
        <v>43165</v>
      </c>
      <c r="S383" s="93" t="s">
        <v>2712</v>
      </c>
    </row>
    <row r="384" spans="1:19">
      <c r="A384" s="92">
        <v>43165</v>
      </c>
      <c r="C384" s="1" t="s">
        <v>56</v>
      </c>
      <c r="E384" s="98" t="s">
        <v>561</v>
      </c>
      <c r="F384" s="1" t="s">
        <v>562</v>
      </c>
      <c r="G384" s="1" t="s">
        <v>2244</v>
      </c>
      <c r="H384" s="1">
        <v>5.5</v>
      </c>
      <c r="I384" s="1" t="s">
        <v>533</v>
      </c>
      <c r="J384" s="1">
        <v>1.65</v>
      </c>
      <c r="K384" s="1" t="s">
        <v>563</v>
      </c>
      <c r="L384" s="1" t="s">
        <v>281</v>
      </c>
      <c r="M384" s="1" t="s">
        <v>71</v>
      </c>
      <c r="N384" s="1" t="s">
        <v>72</v>
      </c>
      <c r="O384" s="1" t="s">
        <v>64</v>
      </c>
      <c r="P384" s="1" t="s">
        <v>73</v>
      </c>
      <c r="R384" s="93">
        <v>43165</v>
      </c>
      <c r="S384" s="93" t="s">
        <v>2712</v>
      </c>
    </row>
    <row r="385" spans="1:19">
      <c r="A385" s="92">
        <v>43165</v>
      </c>
      <c r="C385" s="1" t="s">
        <v>56</v>
      </c>
      <c r="E385" s="98" t="s">
        <v>561</v>
      </c>
      <c r="F385" s="1" t="s">
        <v>562</v>
      </c>
      <c r="G385" s="1" t="s">
        <v>2244</v>
      </c>
      <c r="H385" s="1">
        <v>0.03</v>
      </c>
      <c r="I385" s="1" t="s">
        <v>533</v>
      </c>
      <c r="J385" s="1">
        <v>8.9999999999999993E-3</v>
      </c>
      <c r="K385" s="1" t="s">
        <v>563</v>
      </c>
      <c r="L385" s="1" t="s">
        <v>281</v>
      </c>
      <c r="M385" s="1" t="s">
        <v>71</v>
      </c>
      <c r="N385" s="1" t="s">
        <v>72</v>
      </c>
      <c r="O385" s="1" t="s">
        <v>64</v>
      </c>
      <c r="P385" s="1" t="s">
        <v>73</v>
      </c>
      <c r="R385" s="93">
        <v>43165</v>
      </c>
      <c r="S385" s="93" t="s">
        <v>2712</v>
      </c>
    </row>
    <row r="386" spans="1:19">
      <c r="A386" s="92">
        <v>43165</v>
      </c>
      <c r="C386" s="1" t="s">
        <v>56</v>
      </c>
      <c r="E386" s="98" t="s">
        <v>564</v>
      </c>
      <c r="F386" s="1" t="s">
        <v>565</v>
      </c>
      <c r="G386" s="1" t="s">
        <v>2245</v>
      </c>
      <c r="H386" s="1">
        <v>0.3</v>
      </c>
      <c r="I386" s="1" t="s">
        <v>533</v>
      </c>
      <c r="J386" s="1">
        <v>0.09</v>
      </c>
      <c r="K386" s="1" t="s">
        <v>296</v>
      </c>
      <c r="L386" s="1" t="s">
        <v>93</v>
      </c>
      <c r="M386" s="1" t="s">
        <v>94</v>
      </c>
      <c r="N386" s="1" t="s">
        <v>72</v>
      </c>
      <c r="O386" s="1" t="s">
        <v>64</v>
      </c>
      <c r="P386" s="1" t="s">
        <v>95</v>
      </c>
      <c r="R386" s="93">
        <v>43165</v>
      </c>
      <c r="S386" s="93" t="s">
        <v>2712</v>
      </c>
    </row>
    <row r="387" spans="1:19">
      <c r="A387" s="92">
        <v>43166</v>
      </c>
      <c r="C387" s="1" t="s">
        <v>66</v>
      </c>
      <c r="E387" s="98" t="s">
        <v>566</v>
      </c>
      <c r="F387" s="1" t="s">
        <v>567</v>
      </c>
      <c r="G387" s="1" t="s">
        <v>2246</v>
      </c>
      <c r="H387" s="1">
        <v>0.3</v>
      </c>
      <c r="I387" s="1" t="s">
        <v>568</v>
      </c>
      <c r="J387" s="1">
        <v>0.09</v>
      </c>
      <c r="K387" s="1" t="s">
        <v>149</v>
      </c>
      <c r="L387" s="1" t="s">
        <v>150</v>
      </c>
      <c r="M387" s="1" t="s">
        <v>132</v>
      </c>
      <c r="N387" s="1" t="s">
        <v>72</v>
      </c>
      <c r="O387" s="1" t="s">
        <v>64</v>
      </c>
      <c r="P387" s="1" t="s">
        <v>133</v>
      </c>
      <c r="R387" s="93">
        <v>43166</v>
      </c>
      <c r="S387" s="93" t="s">
        <v>2713</v>
      </c>
    </row>
    <row r="388" spans="1:19">
      <c r="A388" s="92">
        <v>43166</v>
      </c>
      <c r="C388" s="1" t="s">
        <v>56</v>
      </c>
      <c r="E388" s="98" t="s">
        <v>325</v>
      </c>
      <c r="F388" s="1" t="s">
        <v>326</v>
      </c>
      <c r="G388" s="1" t="s">
        <v>2158</v>
      </c>
      <c r="H388" s="1">
        <v>2</v>
      </c>
      <c r="I388" s="1" t="s">
        <v>568</v>
      </c>
      <c r="J388" s="1">
        <v>0.6</v>
      </c>
      <c r="K388" s="1" t="s">
        <v>85</v>
      </c>
      <c r="L388" s="1" t="s">
        <v>85</v>
      </c>
      <c r="M388" s="1" t="s">
        <v>71</v>
      </c>
      <c r="N388" s="1" t="s">
        <v>72</v>
      </c>
      <c r="O388" s="1" t="s">
        <v>64</v>
      </c>
      <c r="P388" s="1" t="s">
        <v>73</v>
      </c>
      <c r="R388" s="93">
        <v>43166</v>
      </c>
      <c r="S388" s="93" t="s">
        <v>2713</v>
      </c>
    </row>
    <row r="389" spans="1:19">
      <c r="A389" s="92">
        <v>43166</v>
      </c>
      <c r="C389" s="1" t="s">
        <v>56</v>
      </c>
      <c r="E389" s="98" t="s">
        <v>569</v>
      </c>
      <c r="F389" s="1" t="s">
        <v>570</v>
      </c>
      <c r="G389" s="1" t="s">
        <v>2247</v>
      </c>
      <c r="H389" s="1">
        <v>3.5</v>
      </c>
      <c r="I389" s="1" t="s">
        <v>568</v>
      </c>
      <c r="J389" s="1">
        <v>1.05</v>
      </c>
      <c r="K389" s="1" t="s">
        <v>89</v>
      </c>
      <c r="L389" s="1" t="s">
        <v>70</v>
      </c>
      <c r="M389" s="1" t="s">
        <v>71</v>
      </c>
      <c r="N389" s="1" t="s">
        <v>72</v>
      </c>
      <c r="O389" s="1" t="s">
        <v>64</v>
      </c>
      <c r="P389" s="1" t="s">
        <v>73</v>
      </c>
      <c r="R389" s="93">
        <v>43166</v>
      </c>
      <c r="S389" s="93" t="s">
        <v>2713</v>
      </c>
    </row>
    <row r="390" spans="1:19">
      <c r="A390" s="92">
        <v>43166</v>
      </c>
      <c r="C390" s="1" t="s">
        <v>56</v>
      </c>
      <c r="E390" s="98" t="s">
        <v>571</v>
      </c>
      <c r="F390" s="1" t="s">
        <v>572</v>
      </c>
      <c r="G390" s="1" t="s">
        <v>2248</v>
      </c>
      <c r="H390" s="1">
        <v>0.2</v>
      </c>
      <c r="I390" s="1" t="s">
        <v>568</v>
      </c>
      <c r="J390" s="1">
        <v>0.06</v>
      </c>
      <c r="K390" s="1" t="s">
        <v>124</v>
      </c>
      <c r="L390" s="1" t="s">
        <v>117</v>
      </c>
      <c r="M390" s="1" t="s">
        <v>2661</v>
      </c>
      <c r="N390" s="1" t="s">
        <v>72</v>
      </c>
      <c r="O390" s="1" t="s">
        <v>64</v>
      </c>
      <c r="P390" s="1" t="s">
        <v>53</v>
      </c>
      <c r="R390" s="93">
        <v>43166</v>
      </c>
      <c r="S390" s="93" t="s">
        <v>2713</v>
      </c>
    </row>
    <row r="391" spans="1:19">
      <c r="A391" s="92">
        <v>43167</v>
      </c>
      <c r="C391" s="1" t="s">
        <v>56</v>
      </c>
      <c r="E391" s="98" t="s">
        <v>573</v>
      </c>
      <c r="F391" s="1" t="s">
        <v>574</v>
      </c>
      <c r="G391" s="1" t="s">
        <v>2249</v>
      </c>
      <c r="H391" s="1">
        <v>5</v>
      </c>
      <c r="I391" s="1" t="s">
        <v>568</v>
      </c>
      <c r="J391" s="1">
        <v>1.5</v>
      </c>
      <c r="K391" s="1" t="s">
        <v>252</v>
      </c>
      <c r="L391" s="1" t="s">
        <v>253</v>
      </c>
      <c r="M391" s="1" t="s">
        <v>94</v>
      </c>
      <c r="N391" s="1" t="s">
        <v>72</v>
      </c>
      <c r="O391" s="1" t="s">
        <v>64</v>
      </c>
      <c r="P391" s="1" t="s">
        <v>95</v>
      </c>
      <c r="R391" s="93">
        <v>43167</v>
      </c>
      <c r="S391" s="93" t="s">
        <v>2713</v>
      </c>
    </row>
    <row r="392" spans="1:19">
      <c r="A392" s="92">
        <v>43167</v>
      </c>
      <c r="C392" s="1" t="s">
        <v>56</v>
      </c>
      <c r="E392" s="98" t="s">
        <v>575</v>
      </c>
      <c r="F392" s="1" t="s">
        <v>576</v>
      </c>
      <c r="G392" s="1" t="s">
        <v>2250</v>
      </c>
      <c r="H392" s="1">
        <v>2</v>
      </c>
      <c r="I392" s="1" t="s">
        <v>568</v>
      </c>
      <c r="J392" s="1">
        <v>0.6</v>
      </c>
      <c r="K392" s="1" t="s">
        <v>577</v>
      </c>
      <c r="L392" s="1" t="s">
        <v>131</v>
      </c>
      <c r="M392" s="1" t="s">
        <v>132</v>
      </c>
      <c r="N392" s="1" t="s">
        <v>72</v>
      </c>
      <c r="O392" s="1" t="s">
        <v>64</v>
      </c>
      <c r="P392" s="1" t="s">
        <v>133</v>
      </c>
      <c r="R392" s="93">
        <v>43167</v>
      </c>
      <c r="S392" s="93" t="s">
        <v>2713</v>
      </c>
    </row>
    <row r="393" spans="1:19">
      <c r="A393" s="92">
        <v>43167</v>
      </c>
      <c r="C393" s="1" t="s">
        <v>56</v>
      </c>
      <c r="E393" s="98" t="s">
        <v>578</v>
      </c>
      <c r="F393" s="1" t="s">
        <v>579</v>
      </c>
      <c r="G393" s="1" t="s">
        <v>2251</v>
      </c>
      <c r="H393" s="1">
        <v>2</v>
      </c>
      <c r="I393" s="1" t="s">
        <v>568</v>
      </c>
      <c r="J393" s="1">
        <v>0.6</v>
      </c>
      <c r="K393" s="1" t="s">
        <v>580</v>
      </c>
      <c r="L393" s="1" t="s">
        <v>150</v>
      </c>
      <c r="M393" s="1" t="s">
        <v>132</v>
      </c>
      <c r="N393" s="1" t="s">
        <v>72</v>
      </c>
      <c r="O393" s="1" t="s">
        <v>64</v>
      </c>
      <c r="P393" s="1" t="s">
        <v>133</v>
      </c>
      <c r="R393" s="93">
        <v>43167</v>
      </c>
      <c r="S393" s="93" t="s">
        <v>2713</v>
      </c>
    </row>
    <row r="394" spans="1:19">
      <c r="A394" s="92">
        <v>43166</v>
      </c>
      <c r="C394" s="1" t="s">
        <v>56</v>
      </c>
      <c r="E394" s="98" t="s">
        <v>581</v>
      </c>
      <c r="F394" s="1" t="s">
        <v>582</v>
      </c>
      <c r="G394" s="1" t="s">
        <v>2252</v>
      </c>
      <c r="H394" s="1">
        <v>2</v>
      </c>
      <c r="I394" s="1" t="s">
        <v>583</v>
      </c>
      <c r="J394" s="1">
        <v>2</v>
      </c>
      <c r="K394" s="1" t="s">
        <v>584</v>
      </c>
      <c r="L394" s="1" t="s">
        <v>216</v>
      </c>
      <c r="M394" s="1" t="s">
        <v>52</v>
      </c>
      <c r="N394" s="1" t="s">
        <v>63</v>
      </c>
      <c r="O394" s="1" t="s">
        <v>64</v>
      </c>
      <c r="P394" s="1" t="s">
        <v>111</v>
      </c>
      <c r="R394" s="93">
        <v>43166</v>
      </c>
      <c r="S394" s="93" t="s">
        <v>2714</v>
      </c>
    </row>
    <row r="395" spans="1:19">
      <c r="A395" s="92">
        <v>43166</v>
      </c>
      <c r="C395" s="1" t="s">
        <v>56</v>
      </c>
      <c r="E395" s="98" t="s">
        <v>585</v>
      </c>
      <c r="F395" s="1" t="s">
        <v>586</v>
      </c>
      <c r="G395" s="1" t="s">
        <v>2253</v>
      </c>
      <c r="H395" s="1">
        <v>5.0121910000000005</v>
      </c>
      <c r="I395" s="1" t="s">
        <v>583</v>
      </c>
      <c r="J395" s="1">
        <v>5.0121910000000005</v>
      </c>
      <c r="K395" s="1" t="s">
        <v>70</v>
      </c>
      <c r="L395" s="1" t="s">
        <v>70</v>
      </c>
      <c r="M395" s="1" t="s">
        <v>71</v>
      </c>
      <c r="N395" s="1" t="s">
        <v>72</v>
      </c>
      <c r="O395" s="1" t="s">
        <v>64</v>
      </c>
      <c r="P395" s="1" t="s">
        <v>73</v>
      </c>
      <c r="R395" s="93">
        <v>43166</v>
      </c>
      <c r="S395" s="93" t="s">
        <v>2714</v>
      </c>
    </row>
    <row r="396" spans="1:19">
      <c r="A396" s="92">
        <v>43166</v>
      </c>
      <c r="C396" s="1" t="s">
        <v>56</v>
      </c>
      <c r="E396" s="98" t="s">
        <v>412</v>
      </c>
      <c r="F396" s="1" t="s">
        <v>413</v>
      </c>
      <c r="G396" s="1" t="s">
        <v>2190</v>
      </c>
      <c r="H396" s="1">
        <v>3.67</v>
      </c>
      <c r="I396" s="1" t="s">
        <v>587</v>
      </c>
      <c r="J396" s="1">
        <v>2.202</v>
      </c>
      <c r="K396" s="1" t="s">
        <v>167</v>
      </c>
      <c r="L396" s="1" t="s">
        <v>117</v>
      </c>
      <c r="M396" s="1" t="s">
        <v>2661</v>
      </c>
      <c r="N396" s="1" t="s">
        <v>72</v>
      </c>
      <c r="O396" s="1" t="s">
        <v>64</v>
      </c>
      <c r="P396" s="1" t="s">
        <v>53</v>
      </c>
      <c r="R396" s="93">
        <v>43166</v>
      </c>
      <c r="S396" s="93" t="s">
        <v>2715</v>
      </c>
    </row>
    <row r="397" spans="1:19">
      <c r="A397" s="92">
        <v>43166</v>
      </c>
      <c r="C397" s="1" t="s">
        <v>66</v>
      </c>
      <c r="E397" s="98" t="s">
        <v>588</v>
      </c>
      <c r="F397" s="1" t="s">
        <v>589</v>
      </c>
      <c r="G397" s="1" t="s">
        <v>2254</v>
      </c>
      <c r="H397" s="1">
        <v>1</v>
      </c>
      <c r="I397" s="1" t="s">
        <v>587</v>
      </c>
      <c r="J397" s="1">
        <v>0.6</v>
      </c>
      <c r="K397" s="1" t="s">
        <v>590</v>
      </c>
      <c r="L397" s="1" t="s">
        <v>85</v>
      </c>
      <c r="M397" s="1" t="s">
        <v>71</v>
      </c>
      <c r="N397" s="1" t="s">
        <v>72</v>
      </c>
      <c r="O397" s="1" t="s">
        <v>64</v>
      </c>
      <c r="P397" s="1" t="s">
        <v>73</v>
      </c>
      <c r="R397" s="93">
        <v>43166</v>
      </c>
      <c r="S397" s="93" t="s">
        <v>2715</v>
      </c>
    </row>
    <row r="398" spans="1:19">
      <c r="A398" s="92">
        <v>43166</v>
      </c>
      <c r="C398" s="1" t="s">
        <v>56</v>
      </c>
      <c r="E398" s="98" t="s">
        <v>591</v>
      </c>
      <c r="F398" s="1" t="s">
        <v>592</v>
      </c>
      <c r="G398" s="1" t="s">
        <v>2255</v>
      </c>
      <c r="H398" s="1">
        <v>5</v>
      </c>
      <c r="I398" s="1" t="s">
        <v>593</v>
      </c>
      <c r="J398" s="1">
        <v>5</v>
      </c>
      <c r="K398" s="1" t="s">
        <v>590</v>
      </c>
      <c r="L398" s="1" t="s">
        <v>85</v>
      </c>
      <c r="M398" s="1" t="s">
        <v>71</v>
      </c>
      <c r="N398" s="1" t="s">
        <v>72</v>
      </c>
      <c r="O398" s="1" t="s">
        <v>64</v>
      </c>
      <c r="P398" s="1" t="s">
        <v>73</v>
      </c>
      <c r="R398" s="93">
        <v>43166</v>
      </c>
      <c r="S398" s="93" t="s">
        <v>2714</v>
      </c>
    </row>
    <row r="399" spans="1:19">
      <c r="A399" s="92">
        <v>43166</v>
      </c>
      <c r="C399" s="1" t="s">
        <v>56</v>
      </c>
      <c r="E399" s="98" t="s">
        <v>597</v>
      </c>
      <c r="F399" s="1" t="s">
        <v>598</v>
      </c>
      <c r="G399" s="1" t="s">
        <v>2256</v>
      </c>
      <c r="H399" s="1">
        <v>4.5</v>
      </c>
      <c r="I399" s="1" t="s">
        <v>593</v>
      </c>
      <c r="J399" s="1">
        <v>4.5</v>
      </c>
      <c r="K399" s="1" t="s">
        <v>296</v>
      </c>
      <c r="L399" s="1" t="s">
        <v>93</v>
      </c>
      <c r="M399" s="1" t="s">
        <v>94</v>
      </c>
      <c r="N399" s="1" t="s">
        <v>72</v>
      </c>
      <c r="O399" s="1" t="s">
        <v>64</v>
      </c>
      <c r="P399" s="1" t="s">
        <v>95</v>
      </c>
      <c r="R399" s="93">
        <v>43166</v>
      </c>
      <c r="S399" s="93" t="s">
        <v>2714</v>
      </c>
    </row>
    <row r="400" spans="1:19">
      <c r="A400" s="92">
        <v>43166</v>
      </c>
      <c r="C400" s="1" t="s">
        <v>56</v>
      </c>
      <c r="E400" s="98" t="s">
        <v>599</v>
      </c>
      <c r="F400" s="1" t="s">
        <v>600</v>
      </c>
      <c r="G400" s="1" t="s">
        <v>2257</v>
      </c>
      <c r="H400" s="1">
        <v>2</v>
      </c>
      <c r="I400" s="1" t="s">
        <v>593</v>
      </c>
      <c r="J400" s="1">
        <v>2</v>
      </c>
      <c r="K400" s="1" t="s">
        <v>601</v>
      </c>
      <c r="L400" s="1" t="s">
        <v>93</v>
      </c>
      <c r="M400" s="1" t="s">
        <v>94</v>
      </c>
      <c r="N400" s="1" t="s">
        <v>72</v>
      </c>
      <c r="O400" s="1" t="s">
        <v>64</v>
      </c>
      <c r="P400" s="1" t="s">
        <v>95</v>
      </c>
      <c r="R400" s="93">
        <v>43166</v>
      </c>
      <c r="S400" s="93" t="s">
        <v>2714</v>
      </c>
    </row>
    <row r="401" spans="1:19">
      <c r="A401" s="92">
        <v>43166</v>
      </c>
      <c r="C401" s="1" t="s">
        <v>56</v>
      </c>
      <c r="E401" s="98" t="s">
        <v>602</v>
      </c>
      <c r="F401" s="1" t="s">
        <v>603</v>
      </c>
      <c r="G401" s="1" t="s">
        <v>2258</v>
      </c>
      <c r="H401" s="1">
        <v>5</v>
      </c>
      <c r="I401" s="1" t="s">
        <v>593</v>
      </c>
      <c r="J401" s="1">
        <v>5</v>
      </c>
      <c r="K401" s="1" t="s">
        <v>590</v>
      </c>
      <c r="L401" s="1" t="s">
        <v>85</v>
      </c>
      <c r="M401" s="1" t="s">
        <v>71</v>
      </c>
      <c r="N401" s="1" t="s">
        <v>72</v>
      </c>
      <c r="O401" s="1" t="s">
        <v>64</v>
      </c>
      <c r="P401" s="1" t="s">
        <v>73</v>
      </c>
      <c r="R401" s="93">
        <v>43166</v>
      </c>
      <c r="S401" s="93" t="s">
        <v>2714</v>
      </c>
    </row>
    <row r="402" spans="1:19">
      <c r="A402" s="92">
        <v>43166</v>
      </c>
      <c r="C402" s="1" t="s">
        <v>66</v>
      </c>
      <c r="E402" s="98" t="s">
        <v>604</v>
      </c>
      <c r="F402" s="1" t="s">
        <v>605</v>
      </c>
      <c r="G402" s="1" t="s">
        <v>2259</v>
      </c>
      <c r="H402" s="1">
        <v>5</v>
      </c>
      <c r="I402" s="1" t="s">
        <v>593</v>
      </c>
      <c r="J402" s="1">
        <v>5</v>
      </c>
      <c r="K402" s="1" t="s">
        <v>219</v>
      </c>
      <c r="L402" s="1" t="s">
        <v>70</v>
      </c>
      <c r="M402" s="1" t="s">
        <v>71</v>
      </c>
      <c r="N402" s="1" t="s">
        <v>72</v>
      </c>
      <c r="O402" s="1" t="s">
        <v>64</v>
      </c>
      <c r="P402" s="1" t="s">
        <v>73</v>
      </c>
      <c r="R402" s="93">
        <v>43166</v>
      </c>
      <c r="S402" s="93" t="s">
        <v>2714</v>
      </c>
    </row>
    <row r="403" spans="1:19">
      <c r="A403" s="92">
        <v>43166</v>
      </c>
      <c r="C403" s="1" t="s">
        <v>56</v>
      </c>
      <c r="E403" s="98" t="s">
        <v>606</v>
      </c>
      <c r="F403" s="1" t="s">
        <v>607</v>
      </c>
      <c r="G403" s="1" t="s">
        <v>2260</v>
      </c>
      <c r="H403" s="1">
        <v>4</v>
      </c>
      <c r="I403" s="1" t="s">
        <v>593</v>
      </c>
      <c r="J403" s="1">
        <v>4</v>
      </c>
      <c r="K403" s="1" t="s">
        <v>167</v>
      </c>
      <c r="L403" s="1" t="s">
        <v>117</v>
      </c>
      <c r="M403" s="1" t="s">
        <v>2661</v>
      </c>
      <c r="N403" s="1" t="s">
        <v>72</v>
      </c>
      <c r="O403" s="1" t="s">
        <v>64</v>
      </c>
      <c r="P403" s="1" t="s">
        <v>53</v>
      </c>
      <c r="R403" s="93">
        <v>43166</v>
      </c>
      <c r="S403" s="93" t="s">
        <v>2714</v>
      </c>
    </row>
    <row r="404" spans="1:19">
      <c r="A404" s="92">
        <v>43167</v>
      </c>
      <c r="C404" s="1" t="s">
        <v>56</v>
      </c>
      <c r="E404" s="98" t="s">
        <v>608</v>
      </c>
      <c r="F404" s="1" t="s">
        <v>609</v>
      </c>
      <c r="G404" s="1" t="s">
        <v>2261</v>
      </c>
      <c r="H404" s="1">
        <v>1.1065209999999999</v>
      </c>
      <c r="I404" s="1" t="s">
        <v>593</v>
      </c>
      <c r="J404" s="1">
        <v>1.1065209999999999</v>
      </c>
      <c r="K404" s="1" t="s">
        <v>114</v>
      </c>
      <c r="L404" s="1" t="s">
        <v>85</v>
      </c>
      <c r="M404" s="1" t="s">
        <v>71</v>
      </c>
      <c r="N404" s="1" t="s">
        <v>72</v>
      </c>
      <c r="O404" s="1" t="s">
        <v>64</v>
      </c>
      <c r="P404" s="1" t="s">
        <v>73</v>
      </c>
      <c r="R404" s="93">
        <v>43167</v>
      </c>
      <c r="S404" s="93" t="s">
        <v>2714</v>
      </c>
    </row>
    <row r="405" spans="1:19">
      <c r="A405" s="92">
        <v>43167</v>
      </c>
      <c r="C405" s="1" t="s">
        <v>56</v>
      </c>
      <c r="E405" s="98" t="s">
        <v>282</v>
      </c>
      <c r="F405" s="1" t="s">
        <v>155</v>
      </c>
      <c r="G405" s="1" t="s">
        <v>2138</v>
      </c>
      <c r="H405" s="1">
        <v>1.1065E-2</v>
      </c>
      <c r="I405" s="1" t="s">
        <v>593</v>
      </c>
      <c r="J405" s="1">
        <v>1.1065E-2</v>
      </c>
      <c r="K405" s="1" t="s">
        <v>155</v>
      </c>
      <c r="L405" s="1" t="s">
        <v>70</v>
      </c>
      <c r="M405" s="1" t="s">
        <v>71</v>
      </c>
      <c r="N405" s="1" t="s">
        <v>72</v>
      </c>
      <c r="O405" s="1" t="s">
        <v>64</v>
      </c>
      <c r="P405" s="1" t="s">
        <v>73</v>
      </c>
      <c r="R405" s="93">
        <v>43167</v>
      </c>
      <c r="S405" s="93" t="s">
        <v>2714</v>
      </c>
    </row>
    <row r="406" spans="1:19">
      <c r="A406" s="92">
        <v>43167</v>
      </c>
      <c r="C406" s="1" t="s">
        <v>56</v>
      </c>
      <c r="E406" s="98" t="s">
        <v>610</v>
      </c>
      <c r="F406" s="1" t="s">
        <v>611</v>
      </c>
      <c r="G406" s="1" t="s">
        <v>2262</v>
      </c>
      <c r="H406" s="1">
        <v>1</v>
      </c>
      <c r="I406" s="1" t="s">
        <v>593</v>
      </c>
      <c r="J406" s="1">
        <v>1</v>
      </c>
      <c r="K406" s="1" t="s">
        <v>136</v>
      </c>
      <c r="L406" s="1" t="s">
        <v>85</v>
      </c>
      <c r="M406" s="1" t="s">
        <v>71</v>
      </c>
      <c r="N406" s="1" t="s">
        <v>72</v>
      </c>
      <c r="O406" s="1" t="s">
        <v>64</v>
      </c>
      <c r="P406" s="1" t="s">
        <v>73</v>
      </c>
      <c r="R406" s="93">
        <v>43167</v>
      </c>
      <c r="S406" s="93" t="s">
        <v>2714</v>
      </c>
    </row>
    <row r="407" spans="1:19">
      <c r="A407" s="92">
        <v>43167</v>
      </c>
      <c r="C407" s="1" t="s">
        <v>66</v>
      </c>
      <c r="E407" s="98" t="s">
        <v>612</v>
      </c>
      <c r="F407" s="1" t="s">
        <v>613</v>
      </c>
      <c r="G407" s="1" t="s">
        <v>2263</v>
      </c>
      <c r="H407" s="1">
        <v>4</v>
      </c>
      <c r="I407" s="1" t="s">
        <v>593</v>
      </c>
      <c r="J407" s="1">
        <v>4</v>
      </c>
      <c r="K407" s="1" t="s">
        <v>124</v>
      </c>
      <c r="L407" s="1" t="s">
        <v>117</v>
      </c>
      <c r="M407" s="1" t="s">
        <v>2661</v>
      </c>
      <c r="N407" s="1" t="s">
        <v>72</v>
      </c>
      <c r="O407" s="1" t="s">
        <v>64</v>
      </c>
      <c r="P407" s="1" t="s">
        <v>53</v>
      </c>
      <c r="R407" s="93">
        <v>43167</v>
      </c>
      <c r="S407" s="93" t="s">
        <v>2714</v>
      </c>
    </row>
    <row r="408" spans="1:19">
      <c r="A408" s="92">
        <v>43167</v>
      </c>
      <c r="C408" s="1" t="s">
        <v>56</v>
      </c>
      <c r="E408" s="98" t="s">
        <v>515</v>
      </c>
      <c r="F408" s="1" t="s">
        <v>516</v>
      </c>
      <c r="G408" s="1" t="s">
        <v>2229</v>
      </c>
      <c r="H408" s="1">
        <v>5</v>
      </c>
      <c r="I408" s="1" t="s">
        <v>614</v>
      </c>
      <c r="J408" s="1">
        <v>5</v>
      </c>
      <c r="K408" s="1" t="s">
        <v>281</v>
      </c>
      <c r="L408" s="1" t="s">
        <v>281</v>
      </c>
      <c r="M408" s="1" t="s">
        <v>71</v>
      </c>
      <c r="N408" s="1" t="s">
        <v>72</v>
      </c>
      <c r="O408" s="1" t="s">
        <v>64</v>
      </c>
      <c r="P408" s="1" t="s">
        <v>73</v>
      </c>
      <c r="R408" s="93">
        <v>43167</v>
      </c>
      <c r="S408" s="93" t="s">
        <v>2716</v>
      </c>
    </row>
    <row r="409" spans="1:19">
      <c r="A409" s="92">
        <v>43167</v>
      </c>
      <c r="C409" s="1" t="s">
        <v>56</v>
      </c>
      <c r="E409" s="98" t="s">
        <v>325</v>
      </c>
      <c r="F409" s="1" t="s">
        <v>326</v>
      </c>
      <c r="G409" s="1" t="s">
        <v>2158</v>
      </c>
      <c r="H409" s="1">
        <v>1.01</v>
      </c>
      <c r="I409" s="1" t="s">
        <v>614</v>
      </c>
      <c r="J409" s="1">
        <v>1.01</v>
      </c>
      <c r="K409" s="1" t="s">
        <v>85</v>
      </c>
      <c r="L409" s="1" t="s">
        <v>85</v>
      </c>
      <c r="M409" s="1" t="s">
        <v>71</v>
      </c>
      <c r="N409" s="1" t="s">
        <v>72</v>
      </c>
      <c r="O409" s="1" t="s">
        <v>64</v>
      </c>
      <c r="P409" s="1" t="s">
        <v>73</v>
      </c>
      <c r="R409" s="93">
        <v>43167</v>
      </c>
      <c r="S409" s="93" t="s">
        <v>2716</v>
      </c>
    </row>
    <row r="410" spans="1:19">
      <c r="A410" s="92">
        <v>43167</v>
      </c>
      <c r="C410" s="1" t="s">
        <v>56</v>
      </c>
      <c r="E410" s="98" t="s">
        <v>615</v>
      </c>
      <c r="F410" s="1" t="s">
        <v>616</v>
      </c>
      <c r="G410" s="1" t="s">
        <v>2264</v>
      </c>
      <c r="H410" s="1">
        <v>1</v>
      </c>
      <c r="I410" s="1" t="s">
        <v>614</v>
      </c>
      <c r="J410" s="1">
        <v>1</v>
      </c>
      <c r="K410" s="1" t="s">
        <v>277</v>
      </c>
      <c r="L410" s="1" t="s">
        <v>269</v>
      </c>
      <c r="M410" s="1" t="s">
        <v>132</v>
      </c>
      <c r="N410" s="1" t="s">
        <v>72</v>
      </c>
      <c r="O410" s="1" t="s">
        <v>64</v>
      </c>
      <c r="P410" s="1" t="s">
        <v>133</v>
      </c>
      <c r="R410" s="93">
        <v>43167</v>
      </c>
      <c r="S410" s="93" t="s">
        <v>2716</v>
      </c>
    </row>
    <row r="411" spans="1:19">
      <c r="A411" s="92">
        <v>43167</v>
      </c>
      <c r="C411" s="1" t="s">
        <v>66</v>
      </c>
      <c r="E411" s="98" t="s">
        <v>617</v>
      </c>
      <c r="F411" s="1" t="s">
        <v>618</v>
      </c>
      <c r="G411" s="1" t="s">
        <v>2265</v>
      </c>
      <c r="H411" s="1">
        <v>0.2</v>
      </c>
      <c r="I411" s="1" t="s">
        <v>614</v>
      </c>
      <c r="J411" s="1">
        <v>0.2</v>
      </c>
      <c r="K411" s="1" t="s">
        <v>619</v>
      </c>
      <c r="L411" s="1" t="s">
        <v>269</v>
      </c>
      <c r="M411" s="1" t="s">
        <v>132</v>
      </c>
      <c r="N411" s="1" t="s">
        <v>72</v>
      </c>
      <c r="O411" s="1" t="s">
        <v>64</v>
      </c>
      <c r="P411" s="1" t="s">
        <v>133</v>
      </c>
      <c r="R411" s="93">
        <v>43167</v>
      </c>
      <c r="S411" s="93" t="s">
        <v>2716</v>
      </c>
    </row>
    <row r="412" spans="1:19">
      <c r="A412" s="92">
        <v>43167</v>
      </c>
      <c r="C412" s="1" t="s">
        <v>66</v>
      </c>
      <c r="E412" s="98" t="s">
        <v>620</v>
      </c>
      <c r="F412" s="1" t="s">
        <v>621</v>
      </c>
      <c r="G412" s="1" t="s">
        <v>2266</v>
      </c>
      <c r="H412" s="1">
        <v>0.06</v>
      </c>
      <c r="I412" s="1" t="s">
        <v>614</v>
      </c>
      <c r="J412" s="1">
        <v>0.06</v>
      </c>
      <c r="K412" s="1" t="s">
        <v>175</v>
      </c>
      <c r="L412" s="1" t="s">
        <v>131</v>
      </c>
      <c r="M412" s="1" t="s">
        <v>132</v>
      </c>
      <c r="N412" s="1" t="s">
        <v>72</v>
      </c>
      <c r="O412" s="1" t="s">
        <v>64</v>
      </c>
      <c r="P412" s="1" t="s">
        <v>133</v>
      </c>
      <c r="R412" s="93">
        <v>43167</v>
      </c>
      <c r="S412" s="93" t="s">
        <v>2716</v>
      </c>
    </row>
    <row r="413" spans="1:19">
      <c r="A413" s="92">
        <v>43167</v>
      </c>
      <c r="C413" s="1" t="s">
        <v>56</v>
      </c>
      <c r="E413" s="98" t="s">
        <v>622</v>
      </c>
      <c r="F413" s="1" t="s">
        <v>623</v>
      </c>
      <c r="G413" s="1" t="s">
        <v>2267</v>
      </c>
      <c r="H413" s="1">
        <v>2.0055339999999999</v>
      </c>
      <c r="I413" s="1" t="s">
        <v>614</v>
      </c>
      <c r="J413" s="1">
        <v>2.0055339999999999</v>
      </c>
      <c r="K413" s="1" t="s">
        <v>144</v>
      </c>
      <c r="L413" s="1" t="s">
        <v>93</v>
      </c>
      <c r="M413" s="1" t="s">
        <v>94</v>
      </c>
      <c r="N413" s="1" t="s">
        <v>72</v>
      </c>
      <c r="O413" s="1" t="s">
        <v>64</v>
      </c>
      <c r="P413" s="1" t="s">
        <v>95</v>
      </c>
      <c r="R413" s="93">
        <v>43167</v>
      </c>
      <c r="S413" s="93" t="s">
        <v>2716</v>
      </c>
    </row>
    <row r="414" spans="1:19">
      <c r="A414" s="92">
        <v>43167</v>
      </c>
      <c r="C414" s="1" t="s">
        <v>66</v>
      </c>
      <c r="E414" s="98" t="s">
        <v>624</v>
      </c>
      <c r="F414" s="1" t="s">
        <v>625</v>
      </c>
      <c r="G414" s="1" t="s">
        <v>2268</v>
      </c>
      <c r="H414" s="1">
        <v>3</v>
      </c>
      <c r="I414" s="1" t="s">
        <v>614</v>
      </c>
      <c r="J414" s="1">
        <v>3</v>
      </c>
      <c r="K414" s="1" t="s">
        <v>403</v>
      </c>
      <c r="L414" s="1" t="s">
        <v>216</v>
      </c>
      <c r="M414" s="1" t="s">
        <v>52</v>
      </c>
      <c r="N414" s="1" t="s">
        <v>63</v>
      </c>
      <c r="O414" s="1" t="s">
        <v>64</v>
      </c>
      <c r="P414" s="1" t="s">
        <v>111</v>
      </c>
      <c r="R414" s="93">
        <v>43167</v>
      </c>
      <c r="S414" s="93" t="s">
        <v>2716</v>
      </c>
    </row>
    <row r="415" spans="1:19">
      <c r="A415" s="92">
        <v>43167</v>
      </c>
      <c r="C415" s="1" t="s">
        <v>56</v>
      </c>
      <c r="E415" s="98" t="s">
        <v>626</v>
      </c>
      <c r="F415" s="1" t="s">
        <v>627</v>
      </c>
      <c r="G415" s="1" t="s">
        <v>2269</v>
      </c>
      <c r="H415" s="1">
        <v>10</v>
      </c>
      <c r="I415" s="1" t="s">
        <v>614</v>
      </c>
      <c r="J415" s="1">
        <v>10</v>
      </c>
      <c r="K415" s="1" t="s">
        <v>206</v>
      </c>
      <c r="L415" s="1" t="s">
        <v>70</v>
      </c>
      <c r="M415" s="1" t="s">
        <v>71</v>
      </c>
      <c r="N415" s="1" t="s">
        <v>72</v>
      </c>
      <c r="O415" s="1" t="s">
        <v>64</v>
      </c>
      <c r="P415" s="1" t="s">
        <v>73</v>
      </c>
      <c r="R415" s="93">
        <v>43167</v>
      </c>
      <c r="S415" s="93" t="s">
        <v>2716</v>
      </c>
    </row>
    <row r="416" spans="1:19">
      <c r="A416" s="92">
        <v>43167</v>
      </c>
      <c r="C416" s="1" t="s">
        <v>66</v>
      </c>
      <c r="E416" s="98" t="s">
        <v>628</v>
      </c>
      <c r="F416" s="1" t="s">
        <v>629</v>
      </c>
      <c r="G416" s="1" t="s">
        <v>2270</v>
      </c>
      <c r="H416" s="1">
        <v>0.1</v>
      </c>
      <c r="I416" s="1" t="s">
        <v>614</v>
      </c>
      <c r="J416" s="1">
        <v>0.1</v>
      </c>
      <c r="K416" s="1" t="s">
        <v>136</v>
      </c>
      <c r="L416" s="1" t="s">
        <v>85</v>
      </c>
      <c r="M416" s="1" t="s">
        <v>71</v>
      </c>
      <c r="N416" s="1" t="s">
        <v>72</v>
      </c>
      <c r="O416" s="1" t="s">
        <v>64</v>
      </c>
      <c r="P416" s="1" t="s">
        <v>73</v>
      </c>
      <c r="R416" s="93">
        <v>43167</v>
      </c>
      <c r="S416" s="93" t="s">
        <v>2716</v>
      </c>
    </row>
    <row r="417" spans="1:19">
      <c r="A417" s="92">
        <v>43167</v>
      </c>
      <c r="C417" s="1" t="s">
        <v>56</v>
      </c>
      <c r="E417" s="98" t="s">
        <v>630</v>
      </c>
      <c r="F417" s="1" t="s">
        <v>631</v>
      </c>
      <c r="G417" s="1" t="s">
        <v>2271</v>
      </c>
      <c r="H417" s="1">
        <v>5</v>
      </c>
      <c r="I417" s="1" t="s">
        <v>614</v>
      </c>
      <c r="J417" s="1">
        <v>5</v>
      </c>
      <c r="K417" s="1" t="s">
        <v>175</v>
      </c>
      <c r="L417" s="1" t="s">
        <v>131</v>
      </c>
      <c r="M417" s="1" t="s">
        <v>132</v>
      </c>
      <c r="N417" s="1" t="s">
        <v>72</v>
      </c>
      <c r="O417" s="1" t="s">
        <v>64</v>
      </c>
      <c r="P417" s="1" t="s">
        <v>133</v>
      </c>
      <c r="R417" s="93">
        <v>43167</v>
      </c>
      <c r="S417" s="93" t="s">
        <v>2716</v>
      </c>
    </row>
    <row r="418" spans="1:19">
      <c r="A418" s="92">
        <v>43167</v>
      </c>
      <c r="C418" s="1" t="s">
        <v>66</v>
      </c>
      <c r="E418" s="98" t="s">
        <v>632</v>
      </c>
      <c r="F418" s="1" t="s">
        <v>633</v>
      </c>
      <c r="G418" s="1" t="s">
        <v>2272</v>
      </c>
      <c r="H418" s="1">
        <v>5</v>
      </c>
      <c r="I418" s="1" t="s">
        <v>614</v>
      </c>
      <c r="J418" s="1">
        <v>5</v>
      </c>
      <c r="K418" s="1" t="s">
        <v>149</v>
      </c>
      <c r="L418" s="1" t="s">
        <v>150</v>
      </c>
      <c r="M418" s="1" t="s">
        <v>132</v>
      </c>
      <c r="N418" s="1" t="s">
        <v>72</v>
      </c>
      <c r="O418" s="1" t="s">
        <v>64</v>
      </c>
      <c r="P418" s="1" t="s">
        <v>133</v>
      </c>
      <c r="R418" s="93">
        <v>43167</v>
      </c>
      <c r="S418" s="93" t="s">
        <v>2716</v>
      </c>
    </row>
    <row r="419" spans="1:19">
      <c r="A419" s="92">
        <v>43167</v>
      </c>
      <c r="C419" s="1" t="s">
        <v>56</v>
      </c>
      <c r="E419" s="98" t="s">
        <v>634</v>
      </c>
      <c r="F419" s="1" t="s">
        <v>635</v>
      </c>
      <c r="G419" s="1" t="s">
        <v>2273</v>
      </c>
      <c r="H419" s="1">
        <v>4</v>
      </c>
      <c r="I419" s="1" t="s">
        <v>614</v>
      </c>
      <c r="J419" s="1">
        <v>4</v>
      </c>
      <c r="K419" s="1" t="s">
        <v>209</v>
      </c>
      <c r="L419" s="1" t="s">
        <v>131</v>
      </c>
      <c r="M419" s="1" t="s">
        <v>132</v>
      </c>
      <c r="N419" s="1" t="s">
        <v>72</v>
      </c>
      <c r="O419" s="1" t="s">
        <v>64</v>
      </c>
      <c r="P419" s="1" t="s">
        <v>133</v>
      </c>
      <c r="R419" s="93">
        <v>43167</v>
      </c>
      <c r="S419" s="93" t="s">
        <v>2716</v>
      </c>
    </row>
    <row r="420" spans="1:19">
      <c r="A420" s="92">
        <v>43167</v>
      </c>
      <c r="C420" s="1" t="s">
        <v>56</v>
      </c>
      <c r="E420" s="98" t="s">
        <v>636</v>
      </c>
      <c r="F420" s="1" t="s">
        <v>637</v>
      </c>
      <c r="G420" s="1" t="s">
        <v>2274</v>
      </c>
      <c r="H420" s="1">
        <v>5</v>
      </c>
      <c r="I420" s="1" t="s">
        <v>614</v>
      </c>
      <c r="J420" s="1">
        <v>5</v>
      </c>
      <c r="K420" s="1" t="s">
        <v>117</v>
      </c>
      <c r="L420" s="1" t="s">
        <v>117</v>
      </c>
      <c r="M420" s="1" t="s">
        <v>2661</v>
      </c>
      <c r="N420" s="1" t="s">
        <v>72</v>
      </c>
      <c r="O420" s="1" t="s">
        <v>64</v>
      </c>
      <c r="P420" s="1" t="s">
        <v>53</v>
      </c>
      <c r="R420" s="93">
        <v>43167</v>
      </c>
      <c r="S420" s="93" t="s">
        <v>2716</v>
      </c>
    </row>
    <row r="421" spans="1:19">
      <c r="A421" s="92">
        <v>43168</v>
      </c>
      <c r="C421" s="1" t="s">
        <v>56</v>
      </c>
      <c r="E421" s="98" t="s">
        <v>638</v>
      </c>
      <c r="F421" s="1" t="s">
        <v>639</v>
      </c>
      <c r="G421" s="1" t="s">
        <v>2275</v>
      </c>
      <c r="H421" s="1">
        <v>1.1065209999999999</v>
      </c>
      <c r="I421" s="1" t="s">
        <v>614</v>
      </c>
      <c r="J421" s="1">
        <v>1.1065209999999999</v>
      </c>
      <c r="K421" s="1" t="s">
        <v>84</v>
      </c>
      <c r="L421" s="1" t="s">
        <v>85</v>
      </c>
      <c r="M421" s="1" t="s">
        <v>71</v>
      </c>
      <c r="N421" s="1" t="s">
        <v>72</v>
      </c>
      <c r="O421" s="1" t="s">
        <v>64</v>
      </c>
      <c r="P421" s="1" t="s">
        <v>73</v>
      </c>
      <c r="R421" s="93">
        <v>43168</v>
      </c>
      <c r="S421" s="93" t="s">
        <v>2716</v>
      </c>
    </row>
    <row r="422" spans="1:19">
      <c r="A422" s="92">
        <v>43168</v>
      </c>
      <c r="C422" s="1" t="s">
        <v>56</v>
      </c>
      <c r="E422" s="98" t="s">
        <v>608</v>
      </c>
      <c r="F422" s="1" t="s">
        <v>609</v>
      </c>
      <c r="G422" s="1" t="s">
        <v>2261</v>
      </c>
      <c r="H422" s="1">
        <v>1.1065209999999999</v>
      </c>
      <c r="I422" s="1" t="s">
        <v>614</v>
      </c>
      <c r="J422" s="1">
        <v>1.1065209999999999</v>
      </c>
      <c r="K422" s="1" t="s">
        <v>114</v>
      </c>
      <c r="L422" s="1" t="s">
        <v>85</v>
      </c>
      <c r="M422" s="1" t="s">
        <v>71</v>
      </c>
      <c r="N422" s="1" t="s">
        <v>72</v>
      </c>
      <c r="O422" s="1" t="s">
        <v>64</v>
      </c>
      <c r="P422" s="1" t="s">
        <v>73</v>
      </c>
      <c r="R422" s="93">
        <v>43168</v>
      </c>
      <c r="S422" s="93" t="s">
        <v>2716</v>
      </c>
    </row>
    <row r="423" spans="1:19">
      <c r="A423" s="92">
        <v>43167</v>
      </c>
      <c r="C423" s="1" t="s">
        <v>56</v>
      </c>
      <c r="E423" s="98" t="s">
        <v>325</v>
      </c>
      <c r="F423" s="1" t="s">
        <v>326</v>
      </c>
      <c r="G423" s="1" t="s">
        <v>2158</v>
      </c>
      <c r="H423" s="1">
        <v>2.2000000000000002</v>
      </c>
      <c r="I423" s="1" t="s">
        <v>640</v>
      </c>
      <c r="J423" s="1">
        <v>1.32</v>
      </c>
      <c r="K423" s="1" t="s">
        <v>85</v>
      </c>
      <c r="L423" s="1" t="s">
        <v>85</v>
      </c>
      <c r="M423" s="1" t="s">
        <v>71</v>
      </c>
      <c r="N423" s="1" t="s">
        <v>72</v>
      </c>
      <c r="O423" s="1" t="s">
        <v>64</v>
      </c>
      <c r="P423" s="1" t="s">
        <v>73</v>
      </c>
      <c r="R423" s="93">
        <v>43167</v>
      </c>
      <c r="S423" s="93" t="s">
        <v>2697</v>
      </c>
    </row>
    <row r="424" spans="1:19">
      <c r="A424" s="92">
        <v>43168</v>
      </c>
      <c r="C424" s="1" t="s">
        <v>56</v>
      </c>
      <c r="E424" s="98" t="s">
        <v>643</v>
      </c>
      <c r="F424" s="1" t="s">
        <v>644</v>
      </c>
      <c r="G424" s="1" t="s">
        <v>2276</v>
      </c>
      <c r="H424" s="1">
        <v>1.65</v>
      </c>
      <c r="I424" s="1" t="s">
        <v>640</v>
      </c>
      <c r="J424" s="1">
        <v>0.99</v>
      </c>
      <c r="K424" s="1" t="s">
        <v>175</v>
      </c>
      <c r="L424" s="1" t="s">
        <v>131</v>
      </c>
      <c r="M424" s="1" t="s">
        <v>132</v>
      </c>
      <c r="N424" s="1" t="s">
        <v>72</v>
      </c>
      <c r="O424" s="1" t="s">
        <v>64</v>
      </c>
      <c r="P424" s="1" t="s">
        <v>133</v>
      </c>
      <c r="R424" s="93">
        <v>43168</v>
      </c>
      <c r="S424" s="93" t="s">
        <v>2697</v>
      </c>
    </row>
    <row r="425" spans="1:19">
      <c r="A425" s="92">
        <v>43167</v>
      </c>
      <c r="C425" s="1" t="s">
        <v>66</v>
      </c>
      <c r="E425" s="98" t="s">
        <v>645</v>
      </c>
      <c r="F425" s="1" t="s">
        <v>646</v>
      </c>
      <c r="G425" s="1" t="s">
        <v>2277</v>
      </c>
      <c r="H425" s="1">
        <v>10</v>
      </c>
      <c r="I425" s="1" t="s">
        <v>647</v>
      </c>
      <c r="J425" s="1">
        <v>10</v>
      </c>
      <c r="K425" s="1" t="s">
        <v>70</v>
      </c>
      <c r="L425" s="1" t="s">
        <v>70</v>
      </c>
      <c r="M425" s="1" t="s">
        <v>71</v>
      </c>
      <c r="N425" s="1" t="s">
        <v>72</v>
      </c>
      <c r="O425" s="1" t="s">
        <v>64</v>
      </c>
      <c r="P425" s="1" t="s">
        <v>73</v>
      </c>
      <c r="R425" s="93">
        <v>43167</v>
      </c>
      <c r="S425" s="93" t="s">
        <v>2716</v>
      </c>
    </row>
    <row r="426" spans="1:19">
      <c r="A426" s="92">
        <v>43167</v>
      </c>
      <c r="C426" s="1" t="s">
        <v>66</v>
      </c>
      <c r="E426" s="98" t="s">
        <v>648</v>
      </c>
      <c r="F426" s="1" t="s">
        <v>649</v>
      </c>
      <c r="G426" s="1" t="s">
        <v>2278</v>
      </c>
      <c r="H426" s="1">
        <v>5</v>
      </c>
      <c r="I426" s="1" t="s">
        <v>647</v>
      </c>
      <c r="J426" s="1">
        <v>5</v>
      </c>
      <c r="K426" s="1" t="s">
        <v>130</v>
      </c>
      <c r="L426" s="1" t="s">
        <v>131</v>
      </c>
      <c r="M426" s="1" t="s">
        <v>132</v>
      </c>
      <c r="N426" s="1" t="s">
        <v>72</v>
      </c>
      <c r="O426" s="1" t="s">
        <v>64</v>
      </c>
      <c r="P426" s="1" t="s">
        <v>133</v>
      </c>
      <c r="R426" s="93">
        <v>43167</v>
      </c>
      <c r="S426" s="93" t="s">
        <v>2716</v>
      </c>
    </row>
    <row r="427" spans="1:19">
      <c r="A427" s="92">
        <v>43167</v>
      </c>
      <c r="C427" s="1" t="s">
        <v>56</v>
      </c>
      <c r="E427" s="98" t="s">
        <v>650</v>
      </c>
      <c r="F427" s="1" t="s">
        <v>651</v>
      </c>
      <c r="G427" s="1" t="s">
        <v>2279</v>
      </c>
      <c r="H427" s="1">
        <v>0.5</v>
      </c>
      <c r="I427" s="1" t="s">
        <v>652</v>
      </c>
      <c r="J427" s="1">
        <v>0.15</v>
      </c>
      <c r="K427" s="1" t="s">
        <v>653</v>
      </c>
      <c r="L427" s="1" t="s">
        <v>253</v>
      </c>
      <c r="M427" s="1" t="s">
        <v>94</v>
      </c>
      <c r="N427" s="1" t="s">
        <v>72</v>
      </c>
      <c r="O427" s="1" t="s">
        <v>64</v>
      </c>
      <c r="P427" s="1" t="s">
        <v>95</v>
      </c>
      <c r="R427" s="93">
        <v>43167</v>
      </c>
      <c r="S427" s="93" t="s">
        <v>2717</v>
      </c>
    </row>
    <row r="428" spans="1:19">
      <c r="A428" s="92">
        <v>43167</v>
      </c>
      <c r="C428" s="1" t="s">
        <v>56</v>
      </c>
      <c r="E428" s="98" t="s">
        <v>400</v>
      </c>
      <c r="F428" s="1" t="s">
        <v>401</v>
      </c>
      <c r="G428" s="1" t="s">
        <v>2025</v>
      </c>
      <c r="H428" s="1">
        <v>1.3</v>
      </c>
      <c r="I428" s="1" t="s">
        <v>652</v>
      </c>
      <c r="J428" s="1">
        <v>0.39</v>
      </c>
      <c r="K428" s="1" t="s">
        <v>403</v>
      </c>
      <c r="L428" s="1" t="s">
        <v>216</v>
      </c>
      <c r="M428" s="1" t="s">
        <v>52</v>
      </c>
      <c r="N428" s="1" t="s">
        <v>63</v>
      </c>
      <c r="O428" s="1" t="s">
        <v>64</v>
      </c>
      <c r="P428" s="1" t="s">
        <v>111</v>
      </c>
      <c r="R428" s="93">
        <v>43167</v>
      </c>
      <c r="S428" s="93" t="s">
        <v>2717</v>
      </c>
    </row>
    <row r="429" spans="1:19">
      <c r="A429" s="92">
        <v>43167</v>
      </c>
      <c r="C429" s="1" t="s">
        <v>56</v>
      </c>
      <c r="E429" s="98" t="s">
        <v>654</v>
      </c>
      <c r="F429" s="1" t="s">
        <v>655</v>
      </c>
      <c r="G429" s="1" t="s">
        <v>2280</v>
      </c>
      <c r="H429" s="1">
        <v>2.3199999999999998</v>
      </c>
      <c r="I429" s="1" t="s">
        <v>652</v>
      </c>
      <c r="J429" s="1">
        <v>0.69599999999999995</v>
      </c>
      <c r="K429" s="1" t="s">
        <v>656</v>
      </c>
      <c r="L429" s="1" t="s">
        <v>105</v>
      </c>
      <c r="M429" s="1" t="s">
        <v>62</v>
      </c>
      <c r="N429" s="1" t="s">
        <v>63</v>
      </c>
      <c r="O429" s="1" t="s">
        <v>64</v>
      </c>
      <c r="P429" s="1" t="s">
        <v>65</v>
      </c>
      <c r="R429" s="93">
        <v>43167</v>
      </c>
      <c r="S429" s="93" t="s">
        <v>2717</v>
      </c>
    </row>
    <row r="430" spans="1:19">
      <c r="A430" s="92">
        <v>43167</v>
      </c>
      <c r="C430" s="1" t="s">
        <v>56</v>
      </c>
      <c r="E430" s="98" t="s">
        <v>657</v>
      </c>
      <c r="F430" s="1" t="s">
        <v>658</v>
      </c>
      <c r="G430" s="1" t="s">
        <v>2281</v>
      </c>
      <c r="H430" s="1">
        <v>1.22</v>
      </c>
      <c r="I430" s="1" t="s">
        <v>652</v>
      </c>
      <c r="J430" s="1">
        <v>0.36599999999999999</v>
      </c>
      <c r="K430" s="1" t="s">
        <v>659</v>
      </c>
      <c r="L430" s="1" t="s">
        <v>193</v>
      </c>
      <c r="M430" s="1" t="s">
        <v>62</v>
      </c>
      <c r="N430" s="1" t="s">
        <v>63</v>
      </c>
      <c r="O430" s="1" t="s">
        <v>64</v>
      </c>
      <c r="P430" s="1" t="s">
        <v>65</v>
      </c>
      <c r="R430" s="93">
        <v>43167</v>
      </c>
      <c r="S430" s="93" t="s">
        <v>2717</v>
      </c>
    </row>
    <row r="431" spans="1:19">
      <c r="A431" s="92">
        <v>43167</v>
      </c>
      <c r="C431" s="1" t="s">
        <v>56</v>
      </c>
      <c r="E431" s="98" t="s">
        <v>657</v>
      </c>
      <c r="F431" s="1" t="s">
        <v>658</v>
      </c>
      <c r="G431" s="1" t="s">
        <v>2281</v>
      </c>
      <c r="H431" s="1">
        <v>2.16</v>
      </c>
      <c r="I431" s="1" t="s">
        <v>652</v>
      </c>
      <c r="J431" s="1">
        <v>0.64800000000000002</v>
      </c>
      <c r="K431" s="1" t="s">
        <v>659</v>
      </c>
      <c r="L431" s="1" t="s">
        <v>193</v>
      </c>
      <c r="M431" s="1" t="s">
        <v>62</v>
      </c>
      <c r="N431" s="1" t="s">
        <v>63</v>
      </c>
      <c r="O431" s="1" t="s">
        <v>64</v>
      </c>
      <c r="P431" s="1" t="s">
        <v>65</v>
      </c>
      <c r="R431" s="93">
        <v>43167</v>
      </c>
      <c r="S431" s="93" t="s">
        <v>2717</v>
      </c>
    </row>
    <row r="432" spans="1:19">
      <c r="A432" s="92">
        <v>43167</v>
      </c>
      <c r="C432" s="1" t="s">
        <v>66</v>
      </c>
      <c r="E432" s="98" t="s">
        <v>660</v>
      </c>
      <c r="F432" s="1" t="s">
        <v>661</v>
      </c>
      <c r="G432" s="1" t="s">
        <v>2282</v>
      </c>
      <c r="H432" s="1">
        <v>0.5</v>
      </c>
      <c r="I432" s="1" t="s">
        <v>652</v>
      </c>
      <c r="J432" s="1">
        <v>0.15</v>
      </c>
      <c r="K432" s="1" t="s">
        <v>136</v>
      </c>
      <c r="L432" s="1" t="s">
        <v>85</v>
      </c>
      <c r="M432" s="1" t="s">
        <v>71</v>
      </c>
      <c r="N432" s="1" t="s">
        <v>72</v>
      </c>
      <c r="O432" s="1" t="s">
        <v>64</v>
      </c>
      <c r="P432" s="1" t="s">
        <v>73</v>
      </c>
      <c r="R432" s="93">
        <v>43167</v>
      </c>
      <c r="S432" s="93" t="s">
        <v>2717</v>
      </c>
    </row>
    <row r="433" spans="1:19">
      <c r="A433" s="92">
        <v>43168</v>
      </c>
      <c r="C433" s="1" t="s">
        <v>56</v>
      </c>
      <c r="E433" s="98" t="s">
        <v>662</v>
      </c>
      <c r="F433" s="1" t="s">
        <v>663</v>
      </c>
      <c r="G433" s="1" t="s">
        <v>2283</v>
      </c>
      <c r="H433" s="1">
        <v>1.42</v>
      </c>
      <c r="I433" s="1" t="s">
        <v>652</v>
      </c>
      <c r="J433" s="1">
        <v>0.42599999999999999</v>
      </c>
      <c r="K433" s="1" t="s">
        <v>70</v>
      </c>
      <c r="L433" s="1" t="s">
        <v>70</v>
      </c>
      <c r="M433" s="1" t="s">
        <v>71</v>
      </c>
      <c r="N433" s="1" t="s">
        <v>72</v>
      </c>
      <c r="O433" s="1" t="s">
        <v>64</v>
      </c>
      <c r="P433" s="1" t="s">
        <v>73</v>
      </c>
      <c r="R433" s="93">
        <v>43168</v>
      </c>
      <c r="S433" s="93" t="s">
        <v>2717</v>
      </c>
    </row>
    <row r="434" spans="1:19">
      <c r="A434" s="92">
        <v>43168</v>
      </c>
      <c r="C434" s="1" t="s">
        <v>66</v>
      </c>
      <c r="E434" s="98" t="s">
        <v>664</v>
      </c>
      <c r="F434" s="1" t="s">
        <v>665</v>
      </c>
      <c r="G434" s="1" t="s">
        <v>2284</v>
      </c>
      <c r="H434" s="1">
        <v>2</v>
      </c>
      <c r="I434" s="1" t="s">
        <v>666</v>
      </c>
      <c r="J434" s="1">
        <v>0.6</v>
      </c>
      <c r="K434" s="1" t="s">
        <v>667</v>
      </c>
      <c r="L434" s="1" t="s">
        <v>61</v>
      </c>
      <c r="M434" s="1" t="s">
        <v>62</v>
      </c>
      <c r="N434" s="1" t="s">
        <v>63</v>
      </c>
      <c r="O434" s="1" t="s">
        <v>64</v>
      </c>
      <c r="P434" s="1" t="s">
        <v>65</v>
      </c>
      <c r="R434" s="93">
        <v>43168</v>
      </c>
      <c r="S434" s="93" t="s">
        <v>2717</v>
      </c>
    </row>
    <row r="435" spans="1:19">
      <c r="A435" s="92">
        <v>43168</v>
      </c>
      <c r="C435" s="1" t="s">
        <v>56</v>
      </c>
      <c r="E435" s="98" t="s">
        <v>668</v>
      </c>
      <c r="F435" s="1" t="s">
        <v>669</v>
      </c>
      <c r="G435" s="1" t="s">
        <v>2285</v>
      </c>
      <c r="H435" s="1">
        <v>0.1</v>
      </c>
      <c r="I435" s="1" t="s">
        <v>666</v>
      </c>
      <c r="J435" s="1">
        <v>0.03</v>
      </c>
      <c r="K435" s="1" t="s">
        <v>365</v>
      </c>
      <c r="L435" s="1" t="s">
        <v>102</v>
      </c>
      <c r="M435" s="1" t="s">
        <v>94</v>
      </c>
      <c r="N435" s="1" t="s">
        <v>72</v>
      </c>
      <c r="O435" s="1" t="s">
        <v>64</v>
      </c>
      <c r="P435" s="1" t="s">
        <v>95</v>
      </c>
      <c r="R435" s="93">
        <v>43168</v>
      </c>
      <c r="S435" s="93" t="s">
        <v>2717</v>
      </c>
    </row>
    <row r="436" spans="1:19">
      <c r="A436" s="92">
        <v>43168</v>
      </c>
      <c r="C436" s="1" t="s">
        <v>56</v>
      </c>
      <c r="E436" s="98" t="s">
        <v>237</v>
      </c>
      <c r="F436" s="1" t="s">
        <v>238</v>
      </c>
      <c r="G436" s="1" t="s">
        <v>2125</v>
      </c>
      <c r="H436" s="1">
        <v>1</v>
      </c>
      <c r="I436" s="1" t="s">
        <v>666</v>
      </c>
      <c r="J436" s="1">
        <v>0.3</v>
      </c>
      <c r="K436" s="1" t="s">
        <v>239</v>
      </c>
      <c r="L436" s="1" t="s">
        <v>150</v>
      </c>
      <c r="M436" s="1" t="s">
        <v>132</v>
      </c>
      <c r="N436" s="1" t="s">
        <v>72</v>
      </c>
      <c r="O436" s="1" t="s">
        <v>64</v>
      </c>
      <c r="P436" s="1" t="s">
        <v>133</v>
      </c>
      <c r="R436" s="93">
        <v>43168</v>
      </c>
      <c r="S436" s="93" t="s">
        <v>2717</v>
      </c>
    </row>
    <row r="437" spans="1:19">
      <c r="A437" s="92">
        <v>43168</v>
      </c>
      <c r="C437" s="1" t="s">
        <v>66</v>
      </c>
      <c r="E437" s="98" t="s">
        <v>670</v>
      </c>
      <c r="F437" s="1" t="s">
        <v>671</v>
      </c>
      <c r="G437" s="1" t="s">
        <v>2286</v>
      </c>
      <c r="H437" s="1">
        <v>13</v>
      </c>
      <c r="I437" s="1" t="s">
        <v>666</v>
      </c>
      <c r="J437" s="1">
        <v>3.9</v>
      </c>
      <c r="K437" s="1" t="s">
        <v>584</v>
      </c>
      <c r="L437" s="1" t="s">
        <v>216</v>
      </c>
      <c r="M437" s="1" t="s">
        <v>52</v>
      </c>
      <c r="N437" s="1" t="s">
        <v>63</v>
      </c>
      <c r="O437" s="1" t="s">
        <v>64</v>
      </c>
      <c r="P437" s="1" t="s">
        <v>111</v>
      </c>
      <c r="R437" s="93">
        <v>43168</v>
      </c>
      <c r="S437" s="93" t="s">
        <v>2717</v>
      </c>
    </row>
    <row r="438" spans="1:19">
      <c r="A438" s="92">
        <v>43168</v>
      </c>
      <c r="C438" s="1" t="s">
        <v>56</v>
      </c>
      <c r="E438" s="98" t="s">
        <v>672</v>
      </c>
      <c r="F438" s="1" t="s">
        <v>673</v>
      </c>
      <c r="G438" s="1" t="s">
        <v>2287</v>
      </c>
      <c r="H438" s="1">
        <v>20</v>
      </c>
      <c r="I438" s="1" t="s">
        <v>666</v>
      </c>
      <c r="J438" s="1">
        <v>6</v>
      </c>
      <c r="K438" s="1" t="s">
        <v>226</v>
      </c>
      <c r="L438" s="1" t="s">
        <v>117</v>
      </c>
      <c r="M438" s="1" t="s">
        <v>2661</v>
      </c>
      <c r="N438" s="1" t="s">
        <v>72</v>
      </c>
      <c r="O438" s="1" t="s">
        <v>64</v>
      </c>
      <c r="P438" s="1" t="s">
        <v>53</v>
      </c>
      <c r="R438" s="93">
        <v>43168</v>
      </c>
      <c r="S438" s="93" t="s">
        <v>2717</v>
      </c>
    </row>
    <row r="439" spans="1:19">
      <c r="A439" s="92">
        <v>43168</v>
      </c>
      <c r="C439" s="1" t="s">
        <v>66</v>
      </c>
      <c r="E439" s="98" t="s">
        <v>674</v>
      </c>
      <c r="F439" s="1" t="s">
        <v>675</v>
      </c>
      <c r="G439" s="1" t="s">
        <v>2288</v>
      </c>
      <c r="H439" s="1">
        <v>10</v>
      </c>
      <c r="I439" s="1" t="s">
        <v>666</v>
      </c>
      <c r="J439" s="1">
        <v>3</v>
      </c>
      <c r="K439" s="1" t="s">
        <v>676</v>
      </c>
      <c r="L439" s="1" t="s">
        <v>150</v>
      </c>
      <c r="M439" s="1" t="s">
        <v>132</v>
      </c>
      <c r="N439" s="1" t="s">
        <v>72</v>
      </c>
      <c r="O439" s="1" t="s">
        <v>64</v>
      </c>
      <c r="P439" s="1" t="s">
        <v>133</v>
      </c>
      <c r="R439" s="93">
        <v>43168</v>
      </c>
      <c r="S439" s="93" t="s">
        <v>2717</v>
      </c>
    </row>
    <row r="440" spans="1:19">
      <c r="A440" s="92">
        <v>43168</v>
      </c>
      <c r="C440" s="1" t="s">
        <v>56</v>
      </c>
      <c r="E440" s="98" t="s">
        <v>99</v>
      </c>
      <c r="F440" s="1" t="s">
        <v>100</v>
      </c>
      <c r="G440" s="1" t="s">
        <v>2088</v>
      </c>
      <c r="H440" s="1">
        <v>1.7</v>
      </c>
      <c r="I440" s="1" t="s">
        <v>666</v>
      </c>
      <c r="J440" s="1">
        <v>0.51</v>
      </c>
      <c r="K440" s="1" t="s">
        <v>101</v>
      </c>
      <c r="L440" s="1" t="s">
        <v>102</v>
      </c>
      <c r="M440" s="1" t="s">
        <v>94</v>
      </c>
      <c r="N440" s="1" t="s">
        <v>72</v>
      </c>
      <c r="O440" s="1" t="s">
        <v>64</v>
      </c>
      <c r="P440" s="1" t="s">
        <v>95</v>
      </c>
      <c r="R440" s="93">
        <v>43168</v>
      </c>
      <c r="S440" s="93" t="s">
        <v>2717</v>
      </c>
    </row>
    <row r="441" spans="1:19">
      <c r="A441" s="92">
        <v>43168</v>
      </c>
      <c r="C441" s="1" t="s">
        <v>56</v>
      </c>
      <c r="E441" s="98" t="s">
        <v>99</v>
      </c>
      <c r="F441" s="1" t="s">
        <v>100</v>
      </c>
      <c r="G441" s="1" t="s">
        <v>2088</v>
      </c>
      <c r="H441" s="1">
        <v>1.3</v>
      </c>
      <c r="I441" s="1" t="s">
        <v>666</v>
      </c>
      <c r="J441" s="1">
        <v>0.39</v>
      </c>
      <c r="K441" s="1" t="s">
        <v>101</v>
      </c>
      <c r="L441" s="1" t="s">
        <v>102</v>
      </c>
      <c r="M441" s="1" t="s">
        <v>94</v>
      </c>
      <c r="N441" s="1" t="s">
        <v>72</v>
      </c>
      <c r="O441" s="1" t="s">
        <v>64</v>
      </c>
      <c r="P441" s="1" t="s">
        <v>95</v>
      </c>
      <c r="R441" s="93">
        <v>43168</v>
      </c>
      <c r="S441" s="93" t="s">
        <v>2717</v>
      </c>
    </row>
    <row r="442" spans="1:19">
      <c r="A442" s="92">
        <v>43168</v>
      </c>
      <c r="C442" s="1" t="s">
        <v>56</v>
      </c>
      <c r="E442" s="98" t="s">
        <v>677</v>
      </c>
      <c r="F442" s="1" t="s">
        <v>678</v>
      </c>
      <c r="G442" s="1" t="s">
        <v>2289</v>
      </c>
      <c r="H442" s="1">
        <v>2</v>
      </c>
      <c r="I442" s="1" t="s">
        <v>679</v>
      </c>
      <c r="J442" s="1">
        <v>2</v>
      </c>
      <c r="K442" s="1" t="s">
        <v>403</v>
      </c>
      <c r="L442" s="1" t="s">
        <v>216</v>
      </c>
      <c r="M442" s="1" t="s">
        <v>52</v>
      </c>
      <c r="N442" s="1" t="s">
        <v>63</v>
      </c>
      <c r="O442" s="1" t="s">
        <v>64</v>
      </c>
      <c r="P442" s="1" t="s">
        <v>111</v>
      </c>
      <c r="R442" s="93">
        <v>43168</v>
      </c>
      <c r="S442" s="93" t="s">
        <v>2716</v>
      </c>
    </row>
    <row r="443" spans="1:19">
      <c r="A443" s="92">
        <v>43168</v>
      </c>
      <c r="C443" s="1" t="s">
        <v>66</v>
      </c>
      <c r="E443" s="98" t="s">
        <v>670</v>
      </c>
      <c r="F443" s="1" t="s">
        <v>671</v>
      </c>
      <c r="G443" s="1" t="s">
        <v>2286</v>
      </c>
      <c r="H443" s="1">
        <v>3</v>
      </c>
      <c r="I443" s="1" t="s">
        <v>679</v>
      </c>
      <c r="J443" s="1">
        <v>3</v>
      </c>
      <c r="K443" s="1" t="s">
        <v>584</v>
      </c>
      <c r="L443" s="1" t="s">
        <v>216</v>
      </c>
      <c r="M443" s="1" t="s">
        <v>52</v>
      </c>
      <c r="N443" s="1" t="s">
        <v>63</v>
      </c>
      <c r="O443" s="1" t="s">
        <v>64</v>
      </c>
      <c r="P443" s="1" t="s">
        <v>111</v>
      </c>
      <c r="R443" s="93">
        <v>43168</v>
      </c>
      <c r="S443" s="93" t="s">
        <v>2716</v>
      </c>
    </row>
    <row r="444" spans="1:19">
      <c r="A444" s="92">
        <v>43168</v>
      </c>
      <c r="C444" s="1" t="s">
        <v>66</v>
      </c>
      <c r="E444" s="98" t="s">
        <v>680</v>
      </c>
      <c r="F444" s="1" t="s">
        <v>681</v>
      </c>
      <c r="G444" s="1" t="s">
        <v>2290</v>
      </c>
      <c r="H444" s="1">
        <v>1</v>
      </c>
      <c r="I444" s="1" t="s">
        <v>679</v>
      </c>
      <c r="J444" s="1">
        <v>1</v>
      </c>
      <c r="K444" s="1" t="s">
        <v>70</v>
      </c>
      <c r="L444" s="1" t="s">
        <v>70</v>
      </c>
      <c r="M444" s="1" t="s">
        <v>71</v>
      </c>
      <c r="N444" s="1" t="s">
        <v>72</v>
      </c>
      <c r="O444" s="1" t="s">
        <v>64</v>
      </c>
      <c r="P444" s="1" t="s">
        <v>73</v>
      </c>
      <c r="R444" s="93">
        <v>43168</v>
      </c>
      <c r="S444" s="93" t="s">
        <v>2716</v>
      </c>
    </row>
    <row r="445" spans="1:19">
      <c r="A445" s="92">
        <v>43168</v>
      </c>
      <c r="C445" s="1" t="s">
        <v>56</v>
      </c>
      <c r="E445" s="98" t="s">
        <v>682</v>
      </c>
      <c r="F445" s="1" t="s">
        <v>683</v>
      </c>
      <c r="G445" s="1" t="s">
        <v>2291</v>
      </c>
      <c r="H445" s="1">
        <v>3</v>
      </c>
      <c r="I445" s="1" t="s">
        <v>679</v>
      </c>
      <c r="J445" s="1">
        <v>3</v>
      </c>
      <c r="K445" s="1" t="s">
        <v>175</v>
      </c>
      <c r="L445" s="1" t="s">
        <v>131</v>
      </c>
      <c r="M445" s="1" t="s">
        <v>132</v>
      </c>
      <c r="N445" s="1" t="s">
        <v>72</v>
      </c>
      <c r="O445" s="1" t="s">
        <v>64</v>
      </c>
      <c r="P445" s="1" t="s">
        <v>133</v>
      </c>
      <c r="R445" s="93">
        <v>43168</v>
      </c>
      <c r="S445" s="93" t="s">
        <v>2716</v>
      </c>
    </row>
    <row r="446" spans="1:19">
      <c r="A446" s="92">
        <v>43168</v>
      </c>
      <c r="C446" s="1" t="s">
        <v>66</v>
      </c>
      <c r="E446" s="98" t="s">
        <v>684</v>
      </c>
      <c r="F446" s="1" t="s">
        <v>685</v>
      </c>
      <c r="G446" s="1" t="s">
        <v>2292</v>
      </c>
      <c r="H446" s="1">
        <v>6</v>
      </c>
      <c r="I446" s="1" t="s">
        <v>679</v>
      </c>
      <c r="J446" s="1">
        <v>6</v>
      </c>
      <c r="K446" s="1" t="s">
        <v>109</v>
      </c>
      <c r="L446" s="1" t="s">
        <v>110</v>
      </c>
      <c r="M446" s="1" t="s">
        <v>52</v>
      </c>
      <c r="N446" s="1" t="s">
        <v>63</v>
      </c>
      <c r="O446" s="1" t="s">
        <v>64</v>
      </c>
      <c r="P446" s="1" t="s">
        <v>111</v>
      </c>
      <c r="R446" s="93">
        <v>43168</v>
      </c>
      <c r="S446" s="93" t="s">
        <v>2716</v>
      </c>
    </row>
    <row r="447" spans="1:19">
      <c r="A447" s="92">
        <v>43168</v>
      </c>
      <c r="C447" s="1" t="s">
        <v>56</v>
      </c>
      <c r="E447" s="98" t="s">
        <v>686</v>
      </c>
      <c r="F447" s="1" t="s">
        <v>687</v>
      </c>
      <c r="G447" s="1" t="s">
        <v>2293</v>
      </c>
      <c r="H447" s="1">
        <v>2</v>
      </c>
      <c r="I447" s="1" t="s">
        <v>679</v>
      </c>
      <c r="J447" s="1">
        <v>2</v>
      </c>
      <c r="K447" s="1" t="s">
        <v>688</v>
      </c>
      <c r="L447" s="1" t="s">
        <v>131</v>
      </c>
      <c r="M447" s="1" t="s">
        <v>132</v>
      </c>
      <c r="N447" s="1" t="s">
        <v>72</v>
      </c>
      <c r="O447" s="1" t="s">
        <v>64</v>
      </c>
      <c r="P447" s="1" t="s">
        <v>133</v>
      </c>
      <c r="R447" s="93">
        <v>43168</v>
      </c>
      <c r="S447" s="93" t="s">
        <v>2716</v>
      </c>
    </row>
    <row r="448" spans="1:19">
      <c r="A448" s="92">
        <v>43168</v>
      </c>
      <c r="C448" s="1" t="s">
        <v>56</v>
      </c>
      <c r="E448" s="98" t="s">
        <v>691</v>
      </c>
      <c r="F448" s="1" t="s">
        <v>692</v>
      </c>
      <c r="G448" s="1" t="s">
        <v>2294</v>
      </c>
      <c r="H448" s="1">
        <v>11.3</v>
      </c>
      <c r="I448" s="1" t="s">
        <v>679</v>
      </c>
      <c r="J448" s="1">
        <v>11.3</v>
      </c>
      <c r="K448" s="1" t="s">
        <v>403</v>
      </c>
      <c r="L448" s="1" t="s">
        <v>216</v>
      </c>
      <c r="M448" s="1" t="s">
        <v>52</v>
      </c>
      <c r="N448" s="1" t="s">
        <v>63</v>
      </c>
      <c r="O448" s="1" t="s">
        <v>64</v>
      </c>
      <c r="P448" s="1" t="s">
        <v>111</v>
      </c>
      <c r="R448" s="93">
        <v>43168</v>
      </c>
      <c r="S448" s="93" t="s">
        <v>2716</v>
      </c>
    </row>
    <row r="449" spans="1:19">
      <c r="A449" s="92">
        <v>43168</v>
      </c>
      <c r="C449" s="1" t="s">
        <v>56</v>
      </c>
      <c r="E449" s="98" t="s">
        <v>693</v>
      </c>
      <c r="F449" s="1" t="s">
        <v>694</v>
      </c>
      <c r="G449" s="1" t="s">
        <v>2295</v>
      </c>
      <c r="H449" s="1">
        <v>1</v>
      </c>
      <c r="I449" s="1" t="s">
        <v>679</v>
      </c>
      <c r="J449" s="1">
        <v>1</v>
      </c>
      <c r="K449" s="1" t="s">
        <v>656</v>
      </c>
      <c r="L449" s="1" t="s">
        <v>105</v>
      </c>
      <c r="M449" s="1" t="s">
        <v>62</v>
      </c>
      <c r="N449" s="1" t="s">
        <v>63</v>
      </c>
      <c r="O449" s="1" t="s">
        <v>64</v>
      </c>
      <c r="P449" s="1" t="s">
        <v>65</v>
      </c>
      <c r="R449" s="93">
        <v>43168</v>
      </c>
      <c r="S449" s="93" t="s">
        <v>2716</v>
      </c>
    </row>
    <row r="450" spans="1:19">
      <c r="A450" s="92">
        <v>43168</v>
      </c>
      <c r="C450" s="1" t="s">
        <v>66</v>
      </c>
      <c r="E450" s="98" t="s">
        <v>695</v>
      </c>
      <c r="F450" s="1" t="s">
        <v>696</v>
      </c>
      <c r="G450" s="1" t="s">
        <v>2296</v>
      </c>
      <c r="H450" s="1">
        <v>4.5</v>
      </c>
      <c r="I450" s="1" t="s">
        <v>679</v>
      </c>
      <c r="J450" s="1">
        <v>4.5</v>
      </c>
      <c r="K450" s="1" t="s">
        <v>114</v>
      </c>
      <c r="L450" s="1" t="s">
        <v>85</v>
      </c>
      <c r="M450" s="1" t="s">
        <v>71</v>
      </c>
      <c r="N450" s="1" t="s">
        <v>72</v>
      </c>
      <c r="O450" s="1" t="s">
        <v>64</v>
      </c>
      <c r="P450" s="1" t="s">
        <v>73</v>
      </c>
      <c r="R450" s="93">
        <v>43168</v>
      </c>
      <c r="S450" s="93" t="s">
        <v>2716</v>
      </c>
    </row>
    <row r="451" spans="1:19">
      <c r="A451" s="92">
        <v>43168</v>
      </c>
      <c r="C451" s="1" t="s">
        <v>66</v>
      </c>
      <c r="E451" s="98" t="s">
        <v>697</v>
      </c>
      <c r="F451" s="1" t="s">
        <v>698</v>
      </c>
      <c r="G451" s="1" t="s">
        <v>2297</v>
      </c>
      <c r="H451" s="1">
        <v>5</v>
      </c>
      <c r="I451" s="1" t="s">
        <v>679</v>
      </c>
      <c r="J451" s="1">
        <v>5</v>
      </c>
      <c r="K451" s="1" t="s">
        <v>70</v>
      </c>
      <c r="L451" s="1" t="s">
        <v>70</v>
      </c>
      <c r="M451" s="1" t="s">
        <v>71</v>
      </c>
      <c r="N451" s="1" t="s">
        <v>72</v>
      </c>
      <c r="O451" s="1" t="s">
        <v>64</v>
      </c>
      <c r="P451" s="1" t="s">
        <v>73</v>
      </c>
      <c r="R451" s="93">
        <v>43168</v>
      </c>
      <c r="S451" s="93" t="s">
        <v>2716</v>
      </c>
    </row>
    <row r="452" spans="1:19">
      <c r="A452" s="92">
        <v>43168</v>
      </c>
      <c r="C452" s="1" t="s">
        <v>56</v>
      </c>
      <c r="E452" s="98" t="s">
        <v>699</v>
      </c>
      <c r="F452" s="1" t="s">
        <v>700</v>
      </c>
      <c r="G452" s="1" t="s">
        <v>2298</v>
      </c>
      <c r="H452" s="1">
        <v>8</v>
      </c>
      <c r="I452" s="1" t="s">
        <v>679</v>
      </c>
      <c r="J452" s="1">
        <v>8</v>
      </c>
      <c r="K452" s="1" t="s">
        <v>149</v>
      </c>
      <c r="L452" s="1" t="s">
        <v>150</v>
      </c>
      <c r="M452" s="1" t="s">
        <v>132</v>
      </c>
      <c r="N452" s="1" t="s">
        <v>72</v>
      </c>
      <c r="O452" s="1" t="s">
        <v>64</v>
      </c>
      <c r="P452" s="1" t="s">
        <v>133</v>
      </c>
      <c r="R452" s="93">
        <v>43168</v>
      </c>
      <c r="S452" s="93" t="s">
        <v>2716</v>
      </c>
    </row>
    <row r="453" spans="1:19">
      <c r="A453" s="92">
        <v>43168</v>
      </c>
      <c r="C453" s="1" t="s">
        <v>56</v>
      </c>
      <c r="E453" s="98" t="s">
        <v>701</v>
      </c>
      <c r="F453" s="1" t="s">
        <v>702</v>
      </c>
      <c r="G453" s="1" t="s">
        <v>2299</v>
      </c>
      <c r="H453" s="1">
        <v>11</v>
      </c>
      <c r="I453" s="1" t="s">
        <v>679</v>
      </c>
      <c r="J453" s="1">
        <v>11</v>
      </c>
      <c r="K453" s="1" t="s">
        <v>150</v>
      </c>
      <c r="L453" s="1" t="s">
        <v>150</v>
      </c>
      <c r="M453" s="1" t="s">
        <v>132</v>
      </c>
      <c r="N453" s="1" t="s">
        <v>72</v>
      </c>
      <c r="O453" s="1" t="s">
        <v>64</v>
      </c>
      <c r="P453" s="1" t="s">
        <v>133</v>
      </c>
      <c r="R453" s="93">
        <v>43168</v>
      </c>
      <c r="S453" s="93" t="s">
        <v>2716</v>
      </c>
    </row>
    <row r="454" spans="1:19">
      <c r="A454" s="92">
        <v>43168</v>
      </c>
      <c r="C454" s="1" t="s">
        <v>66</v>
      </c>
      <c r="E454" s="98" t="s">
        <v>703</v>
      </c>
      <c r="F454" s="1" t="s">
        <v>704</v>
      </c>
      <c r="G454" s="1" t="s">
        <v>2300</v>
      </c>
      <c r="H454" s="1">
        <v>20</v>
      </c>
      <c r="I454" s="1" t="s">
        <v>679</v>
      </c>
      <c r="J454" s="1">
        <v>20</v>
      </c>
      <c r="K454" s="1" t="s">
        <v>619</v>
      </c>
      <c r="L454" s="1" t="s">
        <v>269</v>
      </c>
      <c r="M454" s="1" t="s">
        <v>132</v>
      </c>
      <c r="N454" s="1" t="s">
        <v>72</v>
      </c>
      <c r="O454" s="1" t="s">
        <v>64</v>
      </c>
      <c r="P454" s="1" t="s">
        <v>133</v>
      </c>
      <c r="R454" s="93">
        <v>43168</v>
      </c>
      <c r="S454" s="93" t="s">
        <v>2716</v>
      </c>
    </row>
    <row r="455" spans="1:19">
      <c r="A455" s="92">
        <v>43169</v>
      </c>
      <c r="C455" s="1" t="s">
        <v>66</v>
      </c>
      <c r="E455" s="98" t="s">
        <v>705</v>
      </c>
      <c r="F455" s="1" t="s">
        <v>706</v>
      </c>
      <c r="G455" s="1" t="s">
        <v>2301</v>
      </c>
      <c r="H455" s="1">
        <v>1</v>
      </c>
      <c r="I455" s="1" t="s">
        <v>707</v>
      </c>
      <c r="J455" s="1">
        <v>1</v>
      </c>
      <c r="K455" s="1" t="s">
        <v>416</v>
      </c>
      <c r="L455" s="1" t="s">
        <v>193</v>
      </c>
      <c r="M455" s="1" t="s">
        <v>62</v>
      </c>
      <c r="N455" s="1" t="s">
        <v>63</v>
      </c>
      <c r="O455" s="1" t="s">
        <v>64</v>
      </c>
      <c r="P455" s="1" t="s">
        <v>65</v>
      </c>
      <c r="R455" s="93">
        <v>43169</v>
      </c>
      <c r="S455" s="93" t="s">
        <v>2718</v>
      </c>
    </row>
    <row r="456" spans="1:19">
      <c r="A456" s="92">
        <v>43169</v>
      </c>
      <c r="C456" s="1" t="s">
        <v>56</v>
      </c>
      <c r="E456" s="98" t="s">
        <v>710</v>
      </c>
      <c r="F456" s="1" t="s">
        <v>711</v>
      </c>
      <c r="G456" s="1" t="s">
        <v>2302</v>
      </c>
      <c r="H456" s="1">
        <v>5</v>
      </c>
      <c r="I456" s="1" t="s">
        <v>707</v>
      </c>
      <c r="J456" s="1">
        <v>5</v>
      </c>
      <c r="K456" s="1" t="s">
        <v>312</v>
      </c>
      <c r="L456" s="1" t="s">
        <v>117</v>
      </c>
      <c r="M456" s="1" t="s">
        <v>2661</v>
      </c>
      <c r="N456" s="1" t="s">
        <v>72</v>
      </c>
      <c r="O456" s="1" t="s">
        <v>64</v>
      </c>
      <c r="P456" s="1" t="s">
        <v>53</v>
      </c>
      <c r="R456" s="93">
        <v>43169</v>
      </c>
      <c r="S456" s="93" t="s">
        <v>2718</v>
      </c>
    </row>
    <row r="457" spans="1:19">
      <c r="A457" s="92">
        <v>43169</v>
      </c>
      <c r="C457" s="1" t="s">
        <v>66</v>
      </c>
      <c r="E457" s="98" t="s">
        <v>712</v>
      </c>
      <c r="F457" s="1" t="s">
        <v>713</v>
      </c>
      <c r="G457" s="1" t="s">
        <v>2303</v>
      </c>
      <c r="H457" s="1">
        <v>1</v>
      </c>
      <c r="I457" s="1" t="s">
        <v>707</v>
      </c>
      <c r="J457" s="1">
        <v>1</v>
      </c>
      <c r="K457" s="1" t="s">
        <v>136</v>
      </c>
      <c r="L457" s="1" t="s">
        <v>85</v>
      </c>
      <c r="M457" s="1" t="s">
        <v>71</v>
      </c>
      <c r="N457" s="1" t="s">
        <v>72</v>
      </c>
      <c r="O457" s="1" t="s">
        <v>64</v>
      </c>
      <c r="P457" s="1" t="s">
        <v>73</v>
      </c>
      <c r="R457" s="93">
        <v>43169</v>
      </c>
      <c r="S457" s="93" t="s">
        <v>2718</v>
      </c>
    </row>
    <row r="458" spans="1:19">
      <c r="A458" s="92">
        <v>43169</v>
      </c>
      <c r="C458" s="1" t="s">
        <v>66</v>
      </c>
      <c r="E458" s="98" t="s">
        <v>714</v>
      </c>
      <c r="F458" s="1" t="s">
        <v>715</v>
      </c>
      <c r="G458" s="1" t="s">
        <v>2304</v>
      </c>
      <c r="H458" s="1">
        <v>3</v>
      </c>
      <c r="I458" s="1" t="s">
        <v>707</v>
      </c>
      <c r="J458" s="1">
        <v>3</v>
      </c>
      <c r="K458" s="1" t="s">
        <v>716</v>
      </c>
      <c r="L458" s="1" t="s">
        <v>105</v>
      </c>
      <c r="M458" s="1" t="s">
        <v>62</v>
      </c>
      <c r="N458" s="1" t="s">
        <v>63</v>
      </c>
      <c r="O458" s="1" t="s">
        <v>64</v>
      </c>
      <c r="P458" s="1" t="s">
        <v>65</v>
      </c>
      <c r="R458" s="93">
        <v>43169</v>
      </c>
      <c r="S458" s="93" t="s">
        <v>2718</v>
      </c>
    </row>
    <row r="459" spans="1:19">
      <c r="A459" s="92">
        <v>43169</v>
      </c>
      <c r="C459" s="1" t="s">
        <v>66</v>
      </c>
      <c r="E459" s="98" t="s">
        <v>714</v>
      </c>
      <c r="F459" s="1" t="s">
        <v>715</v>
      </c>
      <c r="G459" s="1" t="s">
        <v>2304</v>
      </c>
      <c r="H459" s="1">
        <v>7</v>
      </c>
      <c r="I459" s="1" t="s">
        <v>707</v>
      </c>
      <c r="J459" s="1">
        <v>7</v>
      </c>
      <c r="K459" s="1" t="s">
        <v>716</v>
      </c>
      <c r="L459" s="1" t="s">
        <v>105</v>
      </c>
      <c r="M459" s="1" t="s">
        <v>62</v>
      </c>
      <c r="N459" s="1" t="s">
        <v>63</v>
      </c>
      <c r="O459" s="1" t="s">
        <v>64</v>
      </c>
      <c r="P459" s="1" t="s">
        <v>65</v>
      </c>
      <c r="R459" s="93">
        <v>43169</v>
      </c>
      <c r="S459" s="93" t="s">
        <v>2718</v>
      </c>
    </row>
    <row r="460" spans="1:19">
      <c r="A460" s="92">
        <v>43169</v>
      </c>
      <c r="C460" s="1" t="s">
        <v>66</v>
      </c>
      <c r="E460" s="98" t="s">
        <v>717</v>
      </c>
      <c r="F460" s="1" t="s">
        <v>718</v>
      </c>
      <c r="G460" s="1" t="s">
        <v>2305</v>
      </c>
      <c r="H460" s="1">
        <v>3</v>
      </c>
      <c r="I460" s="1" t="s">
        <v>707</v>
      </c>
      <c r="J460" s="1">
        <v>3</v>
      </c>
      <c r="K460" s="1" t="s">
        <v>155</v>
      </c>
      <c r="L460" s="1" t="s">
        <v>70</v>
      </c>
      <c r="M460" s="1" t="s">
        <v>71</v>
      </c>
      <c r="N460" s="1" t="s">
        <v>72</v>
      </c>
      <c r="O460" s="1" t="s">
        <v>64</v>
      </c>
      <c r="P460" s="1" t="s">
        <v>73</v>
      </c>
      <c r="R460" s="93">
        <v>43169</v>
      </c>
      <c r="S460" s="93" t="s">
        <v>2718</v>
      </c>
    </row>
    <row r="461" spans="1:19">
      <c r="A461" s="92">
        <v>43169</v>
      </c>
      <c r="C461" s="1" t="s">
        <v>56</v>
      </c>
      <c r="E461" s="98" t="s">
        <v>719</v>
      </c>
      <c r="F461" s="1" t="s">
        <v>720</v>
      </c>
      <c r="G461" s="1" t="s">
        <v>2047</v>
      </c>
      <c r="H461" s="1">
        <v>0.33</v>
      </c>
      <c r="I461" s="1" t="s">
        <v>707</v>
      </c>
      <c r="J461" s="1">
        <v>0.33</v>
      </c>
      <c r="K461" s="1" t="s">
        <v>136</v>
      </c>
      <c r="L461" s="1" t="s">
        <v>85</v>
      </c>
      <c r="M461" s="1" t="s">
        <v>71</v>
      </c>
      <c r="N461" s="1" t="s">
        <v>72</v>
      </c>
      <c r="O461" s="1" t="s">
        <v>64</v>
      </c>
      <c r="P461" s="1" t="s">
        <v>73</v>
      </c>
      <c r="R461" s="93">
        <v>43169</v>
      </c>
      <c r="S461" s="93" t="s">
        <v>2718</v>
      </c>
    </row>
    <row r="462" spans="1:19">
      <c r="A462" s="92">
        <v>43169</v>
      </c>
      <c r="C462" s="1" t="s">
        <v>56</v>
      </c>
      <c r="E462" s="98" t="s">
        <v>721</v>
      </c>
      <c r="F462" s="1" t="s">
        <v>722</v>
      </c>
      <c r="G462" s="1" t="s">
        <v>2306</v>
      </c>
      <c r="H462" s="1">
        <v>5</v>
      </c>
      <c r="I462" s="1" t="s">
        <v>707</v>
      </c>
      <c r="J462" s="1">
        <v>5</v>
      </c>
      <c r="K462" s="1" t="s">
        <v>206</v>
      </c>
      <c r="L462" s="1" t="s">
        <v>70</v>
      </c>
      <c r="M462" s="1" t="s">
        <v>71</v>
      </c>
      <c r="N462" s="1" t="s">
        <v>72</v>
      </c>
      <c r="O462" s="1" t="s">
        <v>64</v>
      </c>
      <c r="P462" s="1" t="s">
        <v>73</v>
      </c>
      <c r="R462" s="93">
        <v>43169</v>
      </c>
      <c r="S462" s="93" t="s">
        <v>2718</v>
      </c>
    </row>
    <row r="463" spans="1:19">
      <c r="A463" s="92">
        <v>43169</v>
      </c>
      <c r="C463" s="1" t="s">
        <v>56</v>
      </c>
      <c r="E463" s="98" t="s">
        <v>723</v>
      </c>
      <c r="F463" s="1" t="s">
        <v>724</v>
      </c>
      <c r="G463" s="1" t="s">
        <v>2307</v>
      </c>
      <c r="H463" s="1">
        <v>5</v>
      </c>
      <c r="I463" s="1" t="s">
        <v>707</v>
      </c>
      <c r="J463" s="1">
        <v>5</v>
      </c>
      <c r="K463" s="1" t="s">
        <v>296</v>
      </c>
      <c r="L463" s="1" t="s">
        <v>93</v>
      </c>
      <c r="M463" s="1" t="s">
        <v>94</v>
      </c>
      <c r="N463" s="1" t="s">
        <v>72</v>
      </c>
      <c r="O463" s="1" t="s">
        <v>64</v>
      </c>
      <c r="P463" s="1" t="s">
        <v>95</v>
      </c>
      <c r="R463" s="93">
        <v>43169</v>
      </c>
      <c r="S463" s="93" t="s">
        <v>2718</v>
      </c>
    </row>
    <row r="464" spans="1:19">
      <c r="A464" s="92">
        <v>43169</v>
      </c>
      <c r="C464" s="1" t="s">
        <v>56</v>
      </c>
      <c r="E464" s="98" t="s">
        <v>725</v>
      </c>
      <c r="F464" s="1" t="s">
        <v>726</v>
      </c>
      <c r="G464" s="1" t="s">
        <v>2308</v>
      </c>
      <c r="H464" s="1">
        <v>1</v>
      </c>
      <c r="I464" s="1" t="s">
        <v>707</v>
      </c>
      <c r="J464" s="1">
        <v>1</v>
      </c>
      <c r="K464" s="1" t="s">
        <v>226</v>
      </c>
      <c r="L464" s="1" t="s">
        <v>117</v>
      </c>
      <c r="M464" s="1" t="s">
        <v>2661</v>
      </c>
      <c r="N464" s="1" t="s">
        <v>72</v>
      </c>
      <c r="O464" s="1" t="s">
        <v>64</v>
      </c>
      <c r="P464" s="1" t="s">
        <v>53</v>
      </c>
      <c r="R464" s="93">
        <v>43169</v>
      </c>
      <c r="S464" s="93" t="s">
        <v>2718</v>
      </c>
    </row>
    <row r="465" spans="1:19">
      <c r="A465" s="92">
        <v>43169</v>
      </c>
      <c r="C465" s="1" t="s">
        <v>56</v>
      </c>
      <c r="E465" s="98" t="s">
        <v>727</v>
      </c>
      <c r="F465" s="1" t="s">
        <v>728</v>
      </c>
      <c r="G465" s="1" t="s">
        <v>2309</v>
      </c>
      <c r="H465" s="1">
        <v>6</v>
      </c>
      <c r="I465" s="1" t="s">
        <v>707</v>
      </c>
      <c r="J465" s="1">
        <v>6</v>
      </c>
      <c r="K465" s="1" t="s">
        <v>277</v>
      </c>
      <c r="L465" s="1" t="s">
        <v>269</v>
      </c>
      <c r="M465" s="1" t="s">
        <v>132</v>
      </c>
      <c r="N465" s="1" t="s">
        <v>72</v>
      </c>
      <c r="O465" s="1" t="s">
        <v>64</v>
      </c>
      <c r="P465" s="1" t="s">
        <v>133</v>
      </c>
      <c r="R465" s="93">
        <v>43169</v>
      </c>
      <c r="S465" s="93" t="s">
        <v>2718</v>
      </c>
    </row>
    <row r="466" spans="1:19">
      <c r="A466" s="92">
        <v>43170</v>
      </c>
      <c r="C466" s="1" t="s">
        <v>56</v>
      </c>
      <c r="E466" s="98" t="s">
        <v>729</v>
      </c>
      <c r="F466" s="1" t="s">
        <v>730</v>
      </c>
      <c r="G466" s="1" t="s">
        <v>2310</v>
      </c>
      <c r="H466" s="1">
        <v>1.1065209999999999</v>
      </c>
      <c r="I466" s="1" t="s">
        <v>707</v>
      </c>
      <c r="J466" s="1">
        <v>1.1065209999999999</v>
      </c>
      <c r="K466" s="1" t="s">
        <v>155</v>
      </c>
      <c r="L466" s="1" t="s">
        <v>70</v>
      </c>
      <c r="M466" s="1" t="s">
        <v>71</v>
      </c>
      <c r="N466" s="1" t="s">
        <v>72</v>
      </c>
      <c r="O466" s="1" t="s">
        <v>64</v>
      </c>
      <c r="P466" s="1" t="s">
        <v>73</v>
      </c>
      <c r="R466" s="93">
        <v>43170</v>
      </c>
      <c r="S466" s="93" t="s">
        <v>2718</v>
      </c>
    </row>
    <row r="467" spans="1:19">
      <c r="A467" s="92">
        <v>43170</v>
      </c>
      <c r="C467" s="1" t="s">
        <v>66</v>
      </c>
      <c r="E467" s="98" t="s">
        <v>620</v>
      </c>
      <c r="F467" s="1" t="s">
        <v>621</v>
      </c>
      <c r="G467" s="1" t="s">
        <v>2266</v>
      </c>
      <c r="H467" s="1">
        <v>0.03</v>
      </c>
      <c r="I467" s="1" t="s">
        <v>707</v>
      </c>
      <c r="J467" s="1">
        <v>0.03</v>
      </c>
      <c r="K467" s="1" t="s">
        <v>175</v>
      </c>
      <c r="L467" s="1" t="s">
        <v>131</v>
      </c>
      <c r="M467" s="1" t="s">
        <v>132</v>
      </c>
      <c r="N467" s="1" t="s">
        <v>72</v>
      </c>
      <c r="O467" s="1" t="s">
        <v>64</v>
      </c>
      <c r="P467" s="1" t="s">
        <v>133</v>
      </c>
      <c r="R467" s="93">
        <v>43170</v>
      </c>
      <c r="S467" s="93" t="s">
        <v>2718</v>
      </c>
    </row>
    <row r="468" spans="1:19">
      <c r="A468" s="92">
        <v>43170</v>
      </c>
      <c r="C468" s="1" t="s">
        <v>66</v>
      </c>
      <c r="E468" s="98" t="s">
        <v>731</v>
      </c>
      <c r="F468" s="1" t="s">
        <v>732</v>
      </c>
      <c r="G468" s="1" t="s">
        <v>2311</v>
      </c>
      <c r="H468" s="1">
        <v>10</v>
      </c>
      <c r="I468" s="1" t="s">
        <v>707</v>
      </c>
      <c r="J468" s="1">
        <v>10</v>
      </c>
      <c r="K468" s="1" t="s">
        <v>136</v>
      </c>
      <c r="L468" s="1" t="s">
        <v>85</v>
      </c>
      <c r="M468" s="1" t="s">
        <v>71</v>
      </c>
      <c r="N468" s="1" t="s">
        <v>72</v>
      </c>
      <c r="O468" s="1" t="s">
        <v>64</v>
      </c>
      <c r="P468" s="1" t="s">
        <v>73</v>
      </c>
      <c r="R468" s="93">
        <v>43170</v>
      </c>
      <c r="S468" s="93" t="s">
        <v>2718</v>
      </c>
    </row>
    <row r="469" spans="1:19">
      <c r="A469" s="92">
        <v>43170</v>
      </c>
      <c r="C469" s="1" t="s">
        <v>56</v>
      </c>
      <c r="E469" s="98" t="s">
        <v>733</v>
      </c>
      <c r="F469" s="1" t="s">
        <v>734</v>
      </c>
      <c r="G469" s="1" t="s">
        <v>2312</v>
      </c>
      <c r="H469" s="1">
        <v>0.1</v>
      </c>
      <c r="I469" s="1" t="s">
        <v>707</v>
      </c>
      <c r="J469" s="1">
        <v>0.1</v>
      </c>
      <c r="K469" s="1" t="s">
        <v>312</v>
      </c>
      <c r="L469" s="1" t="s">
        <v>117</v>
      </c>
      <c r="M469" s="1" t="s">
        <v>2661</v>
      </c>
      <c r="N469" s="1" t="s">
        <v>72</v>
      </c>
      <c r="O469" s="1" t="s">
        <v>64</v>
      </c>
      <c r="P469" s="1" t="s">
        <v>53</v>
      </c>
      <c r="R469" s="93">
        <v>43170</v>
      </c>
      <c r="S469" s="93" t="s">
        <v>2718</v>
      </c>
    </row>
    <row r="470" spans="1:19">
      <c r="A470" s="92">
        <v>43170</v>
      </c>
      <c r="C470" s="1" t="s">
        <v>56</v>
      </c>
      <c r="E470" s="98" t="s">
        <v>735</v>
      </c>
      <c r="F470" s="1" t="s">
        <v>736</v>
      </c>
      <c r="G470" s="1" t="s">
        <v>2313</v>
      </c>
      <c r="H470" s="1">
        <v>5</v>
      </c>
      <c r="I470" s="1" t="s">
        <v>707</v>
      </c>
      <c r="J470" s="1">
        <v>5</v>
      </c>
      <c r="K470" s="1" t="s">
        <v>291</v>
      </c>
      <c r="L470" s="1" t="s">
        <v>85</v>
      </c>
      <c r="M470" s="1" t="s">
        <v>71</v>
      </c>
      <c r="N470" s="1" t="s">
        <v>72</v>
      </c>
      <c r="O470" s="1" t="s">
        <v>64</v>
      </c>
      <c r="P470" s="1" t="s">
        <v>73</v>
      </c>
      <c r="R470" s="93">
        <v>43170</v>
      </c>
      <c r="S470" s="93" t="s">
        <v>2718</v>
      </c>
    </row>
    <row r="471" spans="1:19">
      <c r="A471" s="92">
        <v>43170</v>
      </c>
      <c r="C471" s="1" t="s">
        <v>56</v>
      </c>
      <c r="E471" s="98" t="s">
        <v>737</v>
      </c>
      <c r="F471" s="1" t="s">
        <v>738</v>
      </c>
      <c r="G471" s="1" t="s">
        <v>2314</v>
      </c>
      <c r="H471" s="1">
        <v>2</v>
      </c>
      <c r="I471" s="1" t="s">
        <v>707</v>
      </c>
      <c r="J471" s="1">
        <v>2</v>
      </c>
      <c r="K471" s="1" t="s">
        <v>353</v>
      </c>
      <c r="L471" s="1" t="s">
        <v>281</v>
      </c>
      <c r="M471" s="1" t="s">
        <v>71</v>
      </c>
      <c r="N471" s="1" t="s">
        <v>72</v>
      </c>
      <c r="O471" s="1" t="s">
        <v>64</v>
      </c>
      <c r="P471" s="1" t="s">
        <v>73</v>
      </c>
      <c r="R471" s="93">
        <v>43170</v>
      </c>
      <c r="S471" s="93" t="s">
        <v>2718</v>
      </c>
    </row>
    <row r="472" spans="1:19">
      <c r="A472" s="92">
        <v>43170</v>
      </c>
      <c r="C472" s="1" t="s">
        <v>56</v>
      </c>
      <c r="E472" s="98" t="s">
        <v>739</v>
      </c>
      <c r="F472" s="1" t="s">
        <v>740</v>
      </c>
      <c r="G472" s="1" t="s">
        <v>2315</v>
      </c>
      <c r="H472" s="1">
        <v>1.1000000000000001</v>
      </c>
      <c r="I472" s="1" t="s">
        <v>707</v>
      </c>
      <c r="J472" s="1">
        <v>1.1000000000000001</v>
      </c>
      <c r="K472" s="1" t="s">
        <v>71</v>
      </c>
      <c r="L472" s="1" t="s">
        <v>71</v>
      </c>
      <c r="M472" s="1" t="s">
        <v>71</v>
      </c>
      <c r="N472" s="1" t="s">
        <v>72</v>
      </c>
      <c r="O472" s="1" t="s">
        <v>64</v>
      </c>
      <c r="P472" s="1" t="s">
        <v>73</v>
      </c>
      <c r="R472" s="93">
        <v>43170</v>
      </c>
      <c r="S472" s="93" t="s">
        <v>2718</v>
      </c>
    </row>
    <row r="473" spans="1:19">
      <c r="A473" s="92">
        <v>43170</v>
      </c>
      <c r="C473" s="1" t="s">
        <v>56</v>
      </c>
      <c r="E473" s="98" t="s">
        <v>455</v>
      </c>
      <c r="F473" s="1" t="s">
        <v>456</v>
      </c>
      <c r="G473" s="1" t="s">
        <v>2206</v>
      </c>
      <c r="H473" s="1">
        <v>10</v>
      </c>
      <c r="I473" s="1" t="s">
        <v>707</v>
      </c>
      <c r="J473" s="1">
        <v>10</v>
      </c>
      <c r="K473" s="1" t="s">
        <v>312</v>
      </c>
      <c r="L473" s="1" t="s">
        <v>117</v>
      </c>
      <c r="M473" s="1" t="s">
        <v>2661</v>
      </c>
      <c r="N473" s="1" t="s">
        <v>72</v>
      </c>
      <c r="O473" s="1" t="s">
        <v>64</v>
      </c>
      <c r="P473" s="1" t="s">
        <v>53</v>
      </c>
      <c r="R473" s="93">
        <v>43170</v>
      </c>
      <c r="S473" s="93" t="s">
        <v>2718</v>
      </c>
    </row>
    <row r="474" spans="1:19">
      <c r="A474" s="92">
        <v>43170</v>
      </c>
      <c r="C474" s="1" t="s">
        <v>66</v>
      </c>
      <c r="E474" s="98" t="s">
        <v>741</v>
      </c>
      <c r="F474" s="1" t="s">
        <v>742</v>
      </c>
      <c r="G474" s="1" t="s">
        <v>2316</v>
      </c>
      <c r="H474" s="1">
        <v>1</v>
      </c>
      <c r="I474" s="1" t="s">
        <v>707</v>
      </c>
      <c r="J474" s="1">
        <v>1</v>
      </c>
      <c r="K474" s="1" t="s">
        <v>70</v>
      </c>
      <c r="L474" s="1" t="s">
        <v>70</v>
      </c>
      <c r="M474" s="1" t="s">
        <v>71</v>
      </c>
      <c r="N474" s="1" t="s">
        <v>72</v>
      </c>
      <c r="O474" s="1" t="s">
        <v>64</v>
      </c>
      <c r="P474" s="1" t="s">
        <v>73</v>
      </c>
      <c r="R474" s="93">
        <v>43170</v>
      </c>
      <c r="S474" s="93" t="s">
        <v>2718</v>
      </c>
    </row>
    <row r="475" spans="1:19">
      <c r="A475" s="92">
        <v>43170</v>
      </c>
      <c r="C475" s="1" t="s">
        <v>56</v>
      </c>
      <c r="E475" s="98" t="s">
        <v>743</v>
      </c>
      <c r="F475" s="1" t="s">
        <v>84</v>
      </c>
      <c r="G475" s="1" t="s">
        <v>2317</v>
      </c>
      <c r="H475" s="1">
        <v>15</v>
      </c>
      <c r="I475" s="1" t="s">
        <v>707</v>
      </c>
      <c r="J475" s="1">
        <v>15</v>
      </c>
      <c r="K475" s="1" t="s">
        <v>84</v>
      </c>
      <c r="L475" s="1" t="s">
        <v>85</v>
      </c>
      <c r="M475" s="1" t="s">
        <v>71</v>
      </c>
      <c r="N475" s="1" t="s">
        <v>72</v>
      </c>
      <c r="O475" s="1" t="s">
        <v>64</v>
      </c>
      <c r="P475" s="1" t="s">
        <v>73</v>
      </c>
      <c r="R475" s="93">
        <v>43170</v>
      </c>
      <c r="S475" s="93" t="s">
        <v>2718</v>
      </c>
    </row>
    <row r="476" spans="1:19">
      <c r="A476" s="92">
        <v>43170</v>
      </c>
      <c r="C476" s="1" t="s">
        <v>66</v>
      </c>
      <c r="E476" s="98" t="s">
        <v>744</v>
      </c>
      <c r="F476" s="1" t="s">
        <v>745</v>
      </c>
      <c r="G476" s="1" t="s">
        <v>2318</v>
      </c>
      <c r="H476" s="1">
        <v>2</v>
      </c>
      <c r="I476" s="1" t="s">
        <v>707</v>
      </c>
      <c r="J476" s="1">
        <v>2</v>
      </c>
      <c r="K476" s="1" t="s">
        <v>139</v>
      </c>
      <c r="L476" s="1" t="s">
        <v>131</v>
      </c>
      <c r="M476" s="1" t="s">
        <v>132</v>
      </c>
      <c r="N476" s="1" t="s">
        <v>72</v>
      </c>
      <c r="O476" s="1" t="s">
        <v>64</v>
      </c>
      <c r="P476" s="1" t="s">
        <v>133</v>
      </c>
      <c r="R476" s="93">
        <v>43170</v>
      </c>
      <c r="S476" s="93" t="s">
        <v>2718</v>
      </c>
    </row>
    <row r="477" spans="1:19">
      <c r="A477" s="92">
        <v>43171</v>
      </c>
      <c r="C477" s="1" t="s">
        <v>56</v>
      </c>
      <c r="E477" s="98" t="s">
        <v>748</v>
      </c>
      <c r="F477" s="1" t="s">
        <v>749</v>
      </c>
      <c r="G477" s="1" t="s">
        <v>2319</v>
      </c>
      <c r="H477" s="1">
        <v>1.0733250000000001</v>
      </c>
      <c r="I477" s="1" t="s">
        <v>707</v>
      </c>
      <c r="J477" s="1">
        <v>1.0733250000000001</v>
      </c>
      <c r="K477" s="1" t="s">
        <v>175</v>
      </c>
      <c r="L477" s="1" t="s">
        <v>131</v>
      </c>
      <c r="M477" s="1" t="s">
        <v>132</v>
      </c>
      <c r="N477" s="1" t="s">
        <v>72</v>
      </c>
      <c r="O477" s="1" t="s">
        <v>64</v>
      </c>
      <c r="P477" s="1" t="s">
        <v>133</v>
      </c>
      <c r="R477" s="93">
        <v>43171</v>
      </c>
      <c r="S477" s="93" t="s">
        <v>2718</v>
      </c>
    </row>
    <row r="478" spans="1:19">
      <c r="A478" s="92">
        <v>43171</v>
      </c>
      <c r="C478" s="1" t="s">
        <v>56</v>
      </c>
      <c r="E478" s="98" t="s">
        <v>575</v>
      </c>
      <c r="F478" s="1" t="s">
        <v>576</v>
      </c>
      <c r="G478" s="1" t="s">
        <v>2250</v>
      </c>
      <c r="H478" s="1">
        <v>0.7</v>
      </c>
      <c r="I478" s="1" t="s">
        <v>707</v>
      </c>
      <c r="J478" s="1">
        <v>0.7</v>
      </c>
      <c r="K478" s="1" t="s">
        <v>577</v>
      </c>
      <c r="L478" s="1" t="s">
        <v>131</v>
      </c>
      <c r="M478" s="1" t="s">
        <v>132</v>
      </c>
      <c r="N478" s="1" t="s">
        <v>72</v>
      </c>
      <c r="O478" s="1" t="s">
        <v>64</v>
      </c>
      <c r="P478" s="1" t="s">
        <v>133</v>
      </c>
      <c r="R478" s="93">
        <v>43171</v>
      </c>
      <c r="S478" s="93" t="s">
        <v>2718</v>
      </c>
    </row>
    <row r="479" spans="1:19">
      <c r="A479" s="92">
        <v>43169</v>
      </c>
      <c r="C479" s="1" t="s">
        <v>56</v>
      </c>
      <c r="E479" s="98" t="s">
        <v>750</v>
      </c>
      <c r="F479" s="1" t="s">
        <v>751</v>
      </c>
      <c r="G479" s="1" t="s">
        <v>2320</v>
      </c>
      <c r="H479" s="1">
        <v>5</v>
      </c>
      <c r="I479" s="1" t="s">
        <v>752</v>
      </c>
      <c r="J479" s="1">
        <v>3</v>
      </c>
      <c r="K479" s="1" t="s">
        <v>312</v>
      </c>
      <c r="L479" s="1" t="s">
        <v>117</v>
      </c>
      <c r="M479" s="1" t="s">
        <v>2661</v>
      </c>
      <c r="N479" s="1" t="s">
        <v>72</v>
      </c>
      <c r="O479" s="1" t="s">
        <v>64</v>
      </c>
      <c r="P479" s="1" t="s">
        <v>53</v>
      </c>
      <c r="R479" s="93">
        <v>43169</v>
      </c>
      <c r="S479" s="93" t="s">
        <v>2719</v>
      </c>
    </row>
    <row r="480" spans="1:19">
      <c r="A480" s="92">
        <v>43169</v>
      </c>
      <c r="C480" s="1" t="s">
        <v>56</v>
      </c>
      <c r="E480" s="98" t="s">
        <v>727</v>
      </c>
      <c r="F480" s="1" t="s">
        <v>728</v>
      </c>
      <c r="G480" s="1" t="s">
        <v>2309</v>
      </c>
      <c r="H480" s="1">
        <v>2</v>
      </c>
      <c r="I480" s="1" t="s">
        <v>752</v>
      </c>
      <c r="J480" s="1">
        <v>1.2</v>
      </c>
      <c r="K480" s="1" t="s">
        <v>277</v>
      </c>
      <c r="L480" s="1" t="s">
        <v>269</v>
      </c>
      <c r="M480" s="1" t="s">
        <v>132</v>
      </c>
      <c r="N480" s="1" t="s">
        <v>72</v>
      </c>
      <c r="O480" s="1" t="s">
        <v>64</v>
      </c>
      <c r="P480" s="1" t="s">
        <v>133</v>
      </c>
      <c r="R480" s="93">
        <v>43169</v>
      </c>
      <c r="S480" s="93" t="s">
        <v>2719</v>
      </c>
    </row>
    <row r="481" spans="1:19">
      <c r="A481" s="92">
        <v>43169</v>
      </c>
      <c r="C481" s="1" t="s">
        <v>66</v>
      </c>
      <c r="E481" s="98" t="s">
        <v>714</v>
      </c>
      <c r="F481" s="1" t="s">
        <v>715</v>
      </c>
      <c r="G481" s="1" t="s">
        <v>2304</v>
      </c>
      <c r="H481" s="1">
        <v>10</v>
      </c>
      <c r="I481" s="1" t="s">
        <v>753</v>
      </c>
      <c r="J481" s="1">
        <v>10</v>
      </c>
      <c r="K481" s="1" t="s">
        <v>716</v>
      </c>
      <c r="L481" s="1" t="s">
        <v>105</v>
      </c>
      <c r="M481" s="1" t="s">
        <v>62</v>
      </c>
      <c r="N481" s="1" t="s">
        <v>63</v>
      </c>
      <c r="O481" s="1" t="s">
        <v>64</v>
      </c>
      <c r="P481" s="1" t="s">
        <v>65</v>
      </c>
      <c r="R481" s="93">
        <v>43169</v>
      </c>
      <c r="S481" s="93" t="s">
        <v>2718</v>
      </c>
    </row>
    <row r="482" spans="1:19">
      <c r="A482" s="92">
        <v>43170</v>
      </c>
      <c r="C482" s="1" t="s">
        <v>56</v>
      </c>
      <c r="E482" s="98" t="s">
        <v>754</v>
      </c>
      <c r="F482" s="1" t="s">
        <v>755</v>
      </c>
      <c r="G482" s="1" t="s">
        <v>2321</v>
      </c>
      <c r="H482" s="1">
        <v>6</v>
      </c>
      <c r="I482" s="1" t="s">
        <v>753</v>
      </c>
      <c r="J482" s="1">
        <v>6</v>
      </c>
      <c r="K482" s="1" t="s">
        <v>584</v>
      </c>
      <c r="L482" s="1" t="s">
        <v>216</v>
      </c>
      <c r="M482" s="1" t="s">
        <v>52</v>
      </c>
      <c r="N482" s="1" t="s">
        <v>63</v>
      </c>
      <c r="O482" s="1" t="s">
        <v>64</v>
      </c>
      <c r="P482" s="1" t="s">
        <v>111</v>
      </c>
      <c r="R482" s="93">
        <v>43170</v>
      </c>
      <c r="S482" s="93" t="s">
        <v>2718</v>
      </c>
    </row>
    <row r="483" spans="1:19">
      <c r="A483" s="92">
        <v>43171</v>
      </c>
      <c r="C483" s="1" t="s">
        <v>56</v>
      </c>
      <c r="E483" s="98" t="s">
        <v>756</v>
      </c>
      <c r="F483" s="1" t="s">
        <v>757</v>
      </c>
      <c r="G483" s="1" t="s">
        <v>2322</v>
      </c>
      <c r="H483" s="1">
        <v>3</v>
      </c>
      <c r="I483" s="1" t="s">
        <v>753</v>
      </c>
      <c r="J483" s="1">
        <v>3</v>
      </c>
      <c r="K483" s="1" t="s">
        <v>291</v>
      </c>
      <c r="L483" s="1" t="s">
        <v>85</v>
      </c>
      <c r="M483" s="1" t="s">
        <v>71</v>
      </c>
      <c r="N483" s="1" t="s">
        <v>72</v>
      </c>
      <c r="O483" s="1" t="s">
        <v>64</v>
      </c>
      <c r="P483" s="1" t="s">
        <v>73</v>
      </c>
      <c r="R483" s="93">
        <v>43171</v>
      </c>
      <c r="S483" s="93" t="s">
        <v>2718</v>
      </c>
    </row>
    <row r="484" spans="1:19">
      <c r="A484" s="92">
        <v>43168</v>
      </c>
      <c r="C484" s="1" t="s">
        <v>56</v>
      </c>
      <c r="E484" s="98" t="s">
        <v>258</v>
      </c>
      <c r="F484" s="1" t="s">
        <v>259</v>
      </c>
      <c r="G484" s="1" t="s">
        <v>2131</v>
      </c>
      <c r="H484" s="1">
        <v>3.51</v>
      </c>
      <c r="I484" s="1" t="s">
        <v>758</v>
      </c>
      <c r="J484" s="1">
        <v>5.2649999999999997</v>
      </c>
      <c r="K484" s="1" t="s">
        <v>127</v>
      </c>
      <c r="L484" s="1" t="s">
        <v>110</v>
      </c>
      <c r="M484" s="1" t="s">
        <v>52</v>
      </c>
      <c r="N484" s="1" t="s">
        <v>63</v>
      </c>
      <c r="O484" s="1" t="s">
        <v>64</v>
      </c>
      <c r="P484" s="1" t="s">
        <v>111</v>
      </c>
      <c r="R484" s="93">
        <v>43168</v>
      </c>
      <c r="S484" s="93" t="s">
        <v>2720</v>
      </c>
    </row>
    <row r="485" spans="1:19">
      <c r="A485" s="92">
        <v>43169</v>
      </c>
      <c r="C485" s="1" t="s">
        <v>56</v>
      </c>
      <c r="E485" s="98" t="s">
        <v>759</v>
      </c>
      <c r="F485" s="1" t="s">
        <v>760</v>
      </c>
      <c r="G485" s="1" t="s">
        <v>2323</v>
      </c>
      <c r="H485" s="1">
        <v>0.7</v>
      </c>
      <c r="I485" s="1" t="s">
        <v>758</v>
      </c>
      <c r="J485" s="1">
        <v>1.05</v>
      </c>
      <c r="K485" s="1" t="s">
        <v>277</v>
      </c>
      <c r="L485" s="1" t="s">
        <v>269</v>
      </c>
      <c r="M485" s="1" t="s">
        <v>132</v>
      </c>
      <c r="N485" s="1" t="s">
        <v>72</v>
      </c>
      <c r="O485" s="1" t="s">
        <v>64</v>
      </c>
      <c r="P485" s="1" t="s">
        <v>133</v>
      </c>
      <c r="R485" s="93">
        <v>43169</v>
      </c>
      <c r="S485" s="93" t="s">
        <v>2720</v>
      </c>
    </row>
    <row r="486" spans="1:19">
      <c r="A486" s="92">
        <v>43170</v>
      </c>
      <c r="C486" s="1" t="s">
        <v>66</v>
      </c>
      <c r="E486" s="98" t="s">
        <v>744</v>
      </c>
      <c r="F486" s="1" t="s">
        <v>745</v>
      </c>
      <c r="G486" s="1" t="s">
        <v>2318</v>
      </c>
      <c r="H486" s="1">
        <v>2</v>
      </c>
      <c r="I486" s="1" t="s">
        <v>758</v>
      </c>
      <c r="J486" s="1">
        <v>3</v>
      </c>
      <c r="K486" s="1" t="s">
        <v>139</v>
      </c>
      <c r="L486" s="1" t="s">
        <v>131</v>
      </c>
      <c r="M486" s="1" t="s">
        <v>132</v>
      </c>
      <c r="N486" s="1" t="s">
        <v>72</v>
      </c>
      <c r="O486" s="1" t="s">
        <v>64</v>
      </c>
      <c r="P486" s="1" t="s">
        <v>133</v>
      </c>
      <c r="R486" s="93">
        <v>43170</v>
      </c>
      <c r="S486" s="93" t="s">
        <v>2720</v>
      </c>
    </row>
    <row r="487" spans="1:19">
      <c r="A487" s="92">
        <v>43168</v>
      </c>
      <c r="C487" s="1" t="s">
        <v>66</v>
      </c>
      <c r="E487" s="98" t="s">
        <v>761</v>
      </c>
      <c r="F487" s="1" t="s">
        <v>762</v>
      </c>
      <c r="G487" s="1" t="s">
        <v>2324</v>
      </c>
      <c r="H487" s="1">
        <v>5</v>
      </c>
      <c r="I487" s="1" t="s">
        <v>763</v>
      </c>
      <c r="J487" s="1">
        <v>1.5</v>
      </c>
      <c r="K487" s="1" t="s">
        <v>167</v>
      </c>
      <c r="L487" s="1" t="s">
        <v>117</v>
      </c>
      <c r="M487" s="1" t="s">
        <v>2661</v>
      </c>
      <c r="N487" s="1" t="s">
        <v>72</v>
      </c>
      <c r="O487" s="1" t="s">
        <v>64</v>
      </c>
      <c r="P487" s="1" t="s">
        <v>53</v>
      </c>
      <c r="R487" s="93">
        <v>43168</v>
      </c>
      <c r="S487" s="93" t="s">
        <v>2721</v>
      </c>
    </row>
    <row r="488" spans="1:19">
      <c r="A488" s="92">
        <v>43168</v>
      </c>
      <c r="C488" s="1" t="s">
        <v>56</v>
      </c>
      <c r="E488" s="98" t="s">
        <v>764</v>
      </c>
      <c r="F488" s="1" t="s">
        <v>765</v>
      </c>
      <c r="G488" s="1" t="s">
        <v>2325</v>
      </c>
      <c r="H488" s="1">
        <v>0.65</v>
      </c>
      <c r="I488" s="1" t="s">
        <v>763</v>
      </c>
      <c r="J488" s="1">
        <v>0.19500000000000001</v>
      </c>
      <c r="K488" s="1" t="s">
        <v>144</v>
      </c>
      <c r="L488" s="1" t="s">
        <v>93</v>
      </c>
      <c r="M488" s="1" t="s">
        <v>94</v>
      </c>
      <c r="N488" s="1" t="s">
        <v>72</v>
      </c>
      <c r="O488" s="1" t="s">
        <v>64</v>
      </c>
      <c r="P488" s="1" t="s">
        <v>95</v>
      </c>
      <c r="R488" s="93">
        <v>43168</v>
      </c>
      <c r="S488" s="93" t="s">
        <v>2721</v>
      </c>
    </row>
    <row r="489" spans="1:19">
      <c r="A489" s="92">
        <v>43168</v>
      </c>
      <c r="C489" s="1" t="s">
        <v>56</v>
      </c>
      <c r="E489" s="98" t="s">
        <v>766</v>
      </c>
      <c r="F489" s="1" t="s">
        <v>767</v>
      </c>
      <c r="G489" s="1" t="s">
        <v>2326</v>
      </c>
      <c r="H489" s="1">
        <v>5</v>
      </c>
      <c r="I489" s="1" t="s">
        <v>763</v>
      </c>
      <c r="J489" s="1">
        <v>1.5</v>
      </c>
      <c r="K489" s="1" t="s">
        <v>175</v>
      </c>
      <c r="L489" s="1" t="s">
        <v>131</v>
      </c>
      <c r="M489" s="1" t="s">
        <v>132</v>
      </c>
      <c r="N489" s="1" t="s">
        <v>72</v>
      </c>
      <c r="O489" s="1" t="s">
        <v>64</v>
      </c>
      <c r="P489" s="1" t="s">
        <v>133</v>
      </c>
      <c r="R489" s="93">
        <v>43168</v>
      </c>
      <c r="S489" s="93" t="s">
        <v>2721</v>
      </c>
    </row>
    <row r="490" spans="1:19">
      <c r="A490" s="92">
        <v>43169</v>
      </c>
      <c r="C490" s="1" t="s">
        <v>56</v>
      </c>
      <c r="E490" s="98" t="s">
        <v>768</v>
      </c>
      <c r="F490" s="1" t="s">
        <v>769</v>
      </c>
      <c r="G490" s="1" t="s">
        <v>2327</v>
      </c>
      <c r="H490" s="1">
        <v>1</v>
      </c>
      <c r="I490" s="1" t="s">
        <v>763</v>
      </c>
      <c r="J490" s="1">
        <v>0.3</v>
      </c>
      <c r="K490" s="1" t="s">
        <v>252</v>
      </c>
      <c r="L490" s="1" t="s">
        <v>253</v>
      </c>
      <c r="M490" s="1" t="s">
        <v>94</v>
      </c>
      <c r="N490" s="1" t="s">
        <v>72</v>
      </c>
      <c r="O490" s="1" t="s">
        <v>64</v>
      </c>
      <c r="P490" s="1" t="s">
        <v>95</v>
      </c>
      <c r="R490" s="93">
        <v>43169</v>
      </c>
      <c r="S490" s="93" t="s">
        <v>2721</v>
      </c>
    </row>
    <row r="491" spans="1:19">
      <c r="A491" s="92">
        <v>43169</v>
      </c>
      <c r="C491" s="1" t="s">
        <v>66</v>
      </c>
      <c r="E491" s="98" t="s">
        <v>774</v>
      </c>
      <c r="F491" s="1" t="s">
        <v>775</v>
      </c>
      <c r="G491" s="1" t="s">
        <v>2328</v>
      </c>
      <c r="H491" s="1">
        <v>0.05</v>
      </c>
      <c r="I491" s="1" t="s">
        <v>763</v>
      </c>
      <c r="J491" s="1">
        <v>1.4999999999999999E-2</v>
      </c>
      <c r="K491" s="1" t="s">
        <v>136</v>
      </c>
      <c r="L491" s="1" t="s">
        <v>85</v>
      </c>
      <c r="M491" s="1" t="s">
        <v>71</v>
      </c>
      <c r="N491" s="1" t="s">
        <v>72</v>
      </c>
      <c r="O491" s="1" t="s">
        <v>64</v>
      </c>
      <c r="P491" s="1" t="s">
        <v>73</v>
      </c>
      <c r="R491" s="93">
        <v>43169</v>
      </c>
      <c r="S491" s="93" t="s">
        <v>2721</v>
      </c>
    </row>
    <row r="492" spans="1:19">
      <c r="A492" s="92">
        <v>43169</v>
      </c>
      <c r="C492" s="1" t="s">
        <v>56</v>
      </c>
      <c r="E492" s="98" t="s">
        <v>776</v>
      </c>
      <c r="F492" s="1" t="s">
        <v>777</v>
      </c>
      <c r="G492" s="1" t="s">
        <v>2329</v>
      </c>
      <c r="H492" s="1">
        <v>1</v>
      </c>
      <c r="I492" s="1" t="s">
        <v>763</v>
      </c>
      <c r="J492" s="1">
        <v>0.3</v>
      </c>
      <c r="K492" s="1" t="s">
        <v>136</v>
      </c>
      <c r="L492" s="1" t="s">
        <v>85</v>
      </c>
      <c r="M492" s="1" t="s">
        <v>71</v>
      </c>
      <c r="N492" s="1" t="s">
        <v>72</v>
      </c>
      <c r="O492" s="1" t="s">
        <v>64</v>
      </c>
      <c r="P492" s="1" t="s">
        <v>73</v>
      </c>
      <c r="R492" s="93">
        <v>43169</v>
      </c>
      <c r="S492" s="93" t="s">
        <v>2721</v>
      </c>
    </row>
    <row r="493" spans="1:19">
      <c r="A493" s="92">
        <v>43169</v>
      </c>
      <c r="C493" s="1" t="s">
        <v>56</v>
      </c>
      <c r="E493" s="98" t="s">
        <v>412</v>
      </c>
      <c r="F493" s="1" t="s">
        <v>413</v>
      </c>
      <c r="G493" s="1" t="s">
        <v>2190</v>
      </c>
      <c r="H493" s="1">
        <v>6.88</v>
      </c>
      <c r="I493" s="1" t="s">
        <v>763</v>
      </c>
      <c r="J493" s="1">
        <v>2.0640000000000001</v>
      </c>
      <c r="K493" s="1" t="s">
        <v>167</v>
      </c>
      <c r="L493" s="1" t="s">
        <v>117</v>
      </c>
      <c r="M493" s="1" t="s">
        <v>2661</v>
      </c>
      <c r="N493" s="1" t="s">
        <v>72</v>
      </c>
      <c r="O493" s="1" t="s">
        <v>64</v>
      </c>
      <c r="P493" s="1" t="s">
        <v>53</v>
      </c>
      <c r="R493" s="93">
        <v>43169</v>
      </c>
      <c r="S493" s="93" t="s">
        <v>2721</v>
      </c>
    </row>
    <row r="494" spans="1:19">
      <c r="A494" s="92">
        <v>43169</v>
      </c>
      <c r="C494" s="1" t="s">
        <v>66</v>
      </c>
      <c r="E494" s="98" t="s">
        <v>511</v>
      </c>
      <c r="F494" s="1" t="s">
        <v>512</v>
      </c>
      <c r="G494" s="1" t="s">
        <v>2227</v>
      </c>
      <c r="H494" s="1">
        <v>20</v>
      </c>
      <c r="I494" s="1" t="s">
        <v>763</v>
      </c>
      <c r="J494" s="1">
        <v>6</v>
      </c>
      <c r="K494" s="1" t="s">
        <v>124</v>
      </c>
      <c r="L494" s="1" t="s">
        <v>117</v>
      </c>
      <c r="M494" s="1" t="s">
        <v>2661</v>
      </c>
      <c r="N494" s="1" t="s">
        <v>72</v>
      </c>
      <c r="O494" s="1" t="s">
        <v>64</v>
      </c>
      <c r="P494" s="1" t="s">
        <v>53</v>
      </c>
      <c r="R494" s="93">
        <v>43169</v>
      </c>
      <c r="S494" s="93" t="s">
        <v>2721</v>
      </c>
    </row>
    <row r="495" spans="1:19">
      <c r="A495" s="92">
        <v>43169</v>
      </c>
      <c r="C495" s="1" t="s">
        <v>56</v>
      </c>
      <c r="E495" s="98" t="s">
        <v>778</v>
      </c>
      <c r="F495" s="1" t="s">
        <v>779</v>
      </c>
      <c r="G495" s="1" t="s">
        <v>2020</v>
      </c>
      <c r="H495" s="1">
        <v>3</v>
      </c>
      <c r="I495" s="1" t="s">
        <v>763</v>
      </c>
      <c r="J495" s="1">
        <v>0.9</v>
      </c>
      <c r="K495" s="1" t="s">
        <v>167</v>
      </c>
      <c r="L495" s="1" t="s">
        <v>117</v>
      </c>
      <c r="M495" s="1" t="s">
        <v>2661</v>
      </c>
      <c r="N495" s="1" t="s">
        <v>72</v>
      </c>
      <c r="O495" s="1" t="s">
        <v>64</v>
      </c>
      <c r="P495" s="1" t="s">
        <v>53</v>
      </c>
      <c r="R495" s="93">
        <v>43169</v>
      </c>
      <c r="S495" s="93" t="s">
        <v>2721</v>
      </c>
    </row>
    <row r="496" spans="1:19">
      <c r="A496" s="92">
        <v>43169</v>
      </c>
      <c r="C496" s="1" t="s">
        <v>56</v>
      </c>
      <c r="E496" s="98" t="s">
        <v>727</v>
      </c>
      <c r="F496" s="1" t="s">
        <v>728</v>
      </c>
      <c r="G496" s="1" t="s">
        <v>2309</v>
      </c>
      <c r="H496" s="1">
        <v>1</v>
      </c>
      <c r="I496" s="1" t="s">
        <v>763</v>
      </c>
      <c r="J496" s="1">
        <v>0.3</v>
      </c>
      <c r="K496" s="1" t="s">
        <v>277</v>
      </c>
      <c r="L496" s="1" t="s">
        <v>269</v>
      </c>
      <c r="M496" s="1" t="s">
        <v>132</v>
      </c>
      <c r="N496" s="1" t="s">
        <v>72</v>
      </c>
      <c r="O496" s="1" t="s">
        <v>64</v>
      </c>
      <c r="P496" s="1" t="s">
        <v>133</v>
      </c>
      <c r="R496" s="93">
        <v>43169</v>
      </c>
      <c r="S496" s="93" t="s">
        <v>2721</v>
      </c>
    </row>
    <row r="497" spans="1:19">
      <c r="A497" s="92">
        <v>43170</v>
      </c>
      <c r="C497" s="1" t="s">
        <v>66</v>
      </c>
      <c r="E497" s="98" t="s">
        <v>780</v>
      </c>
      <c r="F497" s="1" t="s">
        <v>781</v>
      </c>
      <c r="G497" s="1" t="s">
        <v>2330</v>
      </c>
      <c r="H497" s="1">
        <v>5</v>
      </c>
      <c r="I497" s="1" t="s">
        <v>763</v>
      </c>
      <c r="J497" s="1">
        <v>1.5</v>
      </c>
      <c r="K497" s="1" t="s">
        <v>239</v>
      </c>
      <c r="L497" s="1" t="s">
        <v>150</v>
      </c>
      <c r="M497" s="1" t="s">
        <v>132</v>
      </c>
      <c r="N497" s="1" t="s">
        <v>72</v>
      </c>
      <c r="O497" s="1" t="s">
        <v>64</v>
      </c>
      <c r="P497" s="1" t="s">
        <v>133</v>
      </c>
      <c r="R497" s="93">
        <v>43170</v>
      </c>
      <c r="S497" s="93" t="s">
        <v>2721</v>
      </c>
    </row>
    <row r="498" spans="1:19">
      <c r="A498" s="92">
        <v>43170</v>
      </c>
      <c r="C498" s="1" t="s">
        <v>56</v>
      </c>
      <c r="E498" s="98" t="s">
        <v>782</v>
      </c>
      <c r="F498" s="1" t="s">
        <v>783</v>
      </c>
      <c r="G498" s="1" t="s">
        <v>2331</v>
      </c>
      <c r="H498" s="1">
        <v>0.5</v>
      </c>
      <c r="I498" s="1" t="s">
        <v>763</v>
      </c>
      <c r="J498" s="1">
        <v>0.15</v>
      </c>
      <c r="K498" s="1" t="s">
        <v>70</v>
      </c>
      <c r="L498" s="1" t="s">
        <v>70</v>
      </c>
      <c r="M498" s="1" t="s">
        <v>71</v>
      </c>
      <c r="N498" s="1" t="s">
        <v>72</v>
      </c>
      <c r="O498" s="1" t="s">
        <v>64</v>
      </c>
      <c r="P498" s="1" t="s">
        <v>73</v>
      </c>
      <c r="R498" s="93">
        <v>43170</v>
      </c>
      <c r="S498" s="93" t="s">
        <v>2721</v>
      </c>
    </row>
    <row r="499" spans="1:19">
      <c r="A499" s="92">
        <v>43170</v>
      </c>
      <c r="C499" s="1" t="s">
        <v>56</v>
      </c>
      <c r="E499" s="98" t="s">
        <v>784</v>
      </c>
      <c r="F499" s="1" t="s">
        <v>785</v>
      </c>
      <c r="G499" s="1" t="s">
        <v>2332</v>
      </c>
      <c r="H499" s="1">
        <v>10</v>
      </c>
      <c r="I499" s="1" t="s">
        <v>763</v>
      </c>
      <c r="J499" s="1">
        <v>3</v>
      </c>
      <c r="K499" s="1" t="s">
        <v>149</v>
      </c>
      <c r="L499" s="1" t="s">
        <v>150</v>
      </c>
      <c r="M499" s="1" t="s">
        <v>132</v>
      </c>
      <c r="N499" s="1" t="s">
        <v>72</v>
      </c>
      <c r="O499" s="1" t="s">
        <v>64</v>
      </c>
      <c r="P499" s="1" t="s">
        <v>133</v>
      </c>
      <c r="R499" s="93">
        <v>43170</v>
      </c>
      <c r="S499" s="93" t="s">
        <v>2721</v>
      </c>
    </row>
    <row r="500" spans="1:19">
      <c r="A500" s="92">
        <v>43170</v>
      </c>
      <c r="C500" s="1" t="s">
        <v>56</v>
      </c>
      <c r="E500" s="98" t="s">
        <v>786</v>
      </c>
      <c r="F500" s="1" t="s">
        <v>787</v>
      </c>
      <c r="G500" s="1" t="s">
        <v>2023</v>
      </c>
      <c r="H500" s="1">
        <v>20</v>
      </c>
      <c r="I500" s="1" t="s">
        <v>763</v>
      </c>
      <c r="J500" s="1">
        <v>6</v>
      </c>
      <c r="K500" s="1" t="s">
        <v>277</v>
      </c>
      <c r="L500" s="1" t="s">
        <v>269</v>
      </c>
      <c r="M500" s="1" t="s">
        <v>132</v>
      </c>
      <c r="N500" s="1" t="s">
        <v>72</v>
      </c>
      <c r="O500" s="1" t="s">
        <v>64</v>
      </c>
      <c r="P500" s="1" t="s">
        <v>133</v>
      </c>
      <c r="R500" s="93">
        <v>43170</v>
      </c>
      <c r="S500" s="93" t="s">
        <v>2721</v>
      </c>
    </row>
    <row r="501" spans="1:19">
      <c r="A501" s="92">
        <v>43170</v>
      </c>
      <c r="C501" s="1" t="s">
        <v>66</v>
      </c>
      <c r="E501" s="98" t="s">
        <v>741</v>
      </c>
      <c r="F501" s="1" t="s">
        <v>742</v>
      </c>
      <c r="G501" s="1" t="s">
        <v>2316</v>
      </c>
      <c r="H501" s="1">
        <v>1</v>
      </c>
      <c r="I501" s="1" t="s">
        <v>763</v>
      </c>
      <c r="J501" s="1">
        <v>0.3</v>
      </c>
      <c r="K501" s="1" t="s">
        <v>70</v>
      </c>
      <c r="L501" s="1" t="s">
        <v>70</v>
      </c>
      <c r="M501" s="1" t="s">
        <v>71</v>
      </c>
      <c r="N501" s="1" t="s">
        <v>72</v>
      </c>
      <c r="O501" s="1" t="s">
        <v>64</v>
      </c>
      <c r="P501" s="1" t="s">
        <v>73</v>
      </c>
      <c r="R501" s="93">
        <v>43170</v>
      </c>
      <c r="S501" s="93" t="s">
        <v>2721</v>
      </c>
    </row>
    <row r="502" spans="1:19">
      <c r="A502" s="92">
        <v>43170</v>
      </c>
      <c r="C502" s="1" t="s">
        <v>66</v>
      </c>
      <c r="E502" s="98" t="s">
        <v>788</v>
      </c>
      <c r="F502" s="1" t="s">
        <v>789</v>
      </c>
      <c r="G502" s="1" t="s">
        <v>2333</v>
      </c>
      <c r="H502" s="1">
        <v>2</v>
      </c>
      <c r="I502" s="1" t="s">
        <v>763</v>
      </c>
      <c r="J502" s="1">
        <v>0.6</v>
      </c>
      <c r="K502" s="1" t="s">
        <v>601</v>
      </c>
      <c r="L502" s="1" t="s">
        <v>93</v>
      </c>
      <c r="M502" s="1" t="s">
        <v>94</v>
      </c>
      <c r="N502" s="1" t="s">
        <v>72</v>
      </c>
      <c r="O502" s="1" t="s">
        <v>64</v>
      </c>
      <c r="P502" s="1" t="s">
        <v>95</v>
      </c>
      <c r="R502" s="93">
        <v>43170</v>
      </c>
      <c r="S502" s="93" t="s">
        <v>2721</v>
      </c>
    </row>
    <row r="503" spans="1:19">
      <c r="A503" s="92">
        <v>43170</v>
      </c>
      <c r="C503" s="1" t="s">
        <v>66</v>
      </c>
      <c r="E503" s="98" t="s">
        <v>790</v>
      </c>
      <c r="F503" s="1" t="s">
        <v>791</v>
      </c>
      <c r="G503" s="1" t="s">
        <v>2334</v>
      </c>
      <c r="H503" s="1">
        <v>5</v>
      </c>
      <c r="I503" s="1" t="s">
        <v>763</v>
      </c>
      <c r="J503" s="1">
        <v>1.5</v>
      </c>
      <c r="K503" s="1" t="s">
        <v>136</v>
      </c>
      <c r="L503" s="1" t="s">
        <v>85</v>
      </c>
      <c r="M503" s="1" t="s">
        <v>71</v>
      </c>
      <c r="N503" s="1" t="s">
        <v>72</v>
      </c>
      <c r="O503" s="1" t="s">
        <v>64</v>
      </c>
      <c r="P503" s="1" t="s">
        <v>73</v>
      </c>
      <c r="R503" s="93">
        <v>43170</v>
      </c>
      <c r="S503" s="93" t="s">
        <v>2721</v>
      </c>
    </row>
    <row r="504" spans="1:19">
      <c r="A504" s="92">
        <v>43170</v>
      </c>
      <c r="C504" s="1" t="s">
        <v>56</v>
      </c>
      <c r="E504" s="98" t="s">
        <v>792</v>
      </c>
      <c r="F504" s="1" t="s">
        <v>793</v>
      </c>
      <c r="G504" s="1" t="s">
        <v>2335</v>
      </c>
      <c r="H504" s="1">
        <v>8</v>
      </c>
      <c r="I504" s="1" t="s">
        <v>763</v>
      </c>
      <c r="J504" s="1">
        <v>2.4</v>
      </c>
      <c r="K504" s="1" t="s">
        <v>167</v>
      </c>
      <c r="L504" s="1" t="s">
        <v>117</v>
      </c>
      <c r="M504" s="1" t="s">
        <v>2661</v>
      </c>
      <c r="N504" s="1" t="s">
        <v>72</v>
      </c>
      <c r="O504" s="1" t="s">
        <v>64</v>
      </c>
      <c r="P504" s="1" t="s">
        <v>53</v>
      </c>
      <c r="R504" s="93">
        <v>43170</v>
      </c>
      <c r="S504" s="93" t="s">
        <v>2721</v>
      </c>
    </row>
    <row r="505" spans="1:19">
      <c r="A505" s="92">
        <v>43170</v>
      </c>
      <c r="C505" s="1" t="s">
        <v>66</v>
      </c>
      <c r="E505" s="98" t="s">
        <v>794</v>
      </c>
      <c r="F505" s="1" t="s">
        <v>795</v>
      </c>
      <c r="G505" s="1" t="s">
        <v>2336</v>
      </c>
      <c r="H505" s="1">
        <v>1</v>
      </c>
      <c r="I505" s="1" t="s">
        <v>763</v>
      </c>
      <c r="J505" s="1">
        <v>0.3</v>
      </c>
      <c r="K505" s="1" t="s">
        <v>277</v>
      </c>
      <c r="L505" s="1" t="s">
        <v>269</v>
      </c>
      <c r="M505" s="1" t="s">
        <v>132</v>
      </c>
      <c r="N505" s="1" t="s">
        <v>72</v>
      </c>
      <c r="O505" s="1" t="s">
        <v>64</v>
      </c>
      <c r="P505" s="1" t="s">
        <v>133</v>
      </c>
      <c r="R505" s="93">
        <v>43170</v>
      </c>
      <c r="S505" s="93" t="s">
        <v>2721</v>
      </c>
    </row>
    <row r="506" spans="1:19">
      <c r="A506" s="92">
        <v>43170</v>
      </c>
      <c r="C506" s="1" t="s">
        <v>56</v>
      </c>
      <c r="E506" s="98" t="s">
        <v>796</v>
      </c>
      <c r="F506" s="1" t="s">
        <v>797</v>
      </c>
      <c r="G506" s="1" t="s">
        <v>2337</v>
      </c>
      <c r="H506" s="1">
        <v>1</v>
      </c>
      <c r="I506" s="1" t="s">
        <v>763</v>
      </c>
      <c r="J506" s="1">
        <v>0.3</v>
      </c>
      <c r="K506" s="1" t="s">
        <v>164</v>
      </c>
      <c r="L506" s="1" t="s">
        <v>93</v>
      </c>
      <c r="M506" s="1" t="s">
        <v>94</v>
      </c>
      <c r="N506" s="1" t="s">
        <v>72</v>
      </c>
      <c r="O506" s="1" t="s">
        <v>64</v>
      </c>
      <c r="P506" s="1" t="s">
        <v>95</v>
      </c>
      <c r="R506" s="93">
        <v>43170</v>
      </c>
      <c r="S506" s="93" t="s">
        <v>2721</v>
      </c>
    </row>
    <row r="507" spans="1:19">
      <c r="A507" s="92">
        <v>43170</v>
      </c>
      <c r="C507" s="1" t="s">
        <v>56</v>
      </c>
      <c r="E507" s="98" t="s">
        <v>798</v>
      </c>
      <c r="F507" s="1" t="s">
        <v>799</v>
      </c>
      <c r="G507" s="1" t="s">
        <v>2338</v>
      </c>
      <c r="H507" s="1">
        <v>5</v>
      </c>
      <c r="I507" s="1" t="s">
        <v>763</v>
      </c>
      <c r="J507" s="1">
        <v>1.5</v>
      </c>
      <c r="K507" s="1" t="s">
        <v>167</v>
      </c>
      <c r="L507" s="1" t="s">
        <v>117</v>
      </c>
      <c r="M507" s="1" t="s">
        <v>2661</v>
      </c>
      <c r="N507" s="1" t="s">
        <v>72</v>
      </c>
      <c r="O507" s="1" t="s">
        <v>64</v>
      </c>
      <c r="P507" s="1" t="s">
        <v>53</v>
      </c>
      <c r="R507" s="93">
        <v>43170</v>
      </c>
      <c r="S507" s="93" t="s">
        <v>2721</v>
      </c>
    </row>
    <row r="508" spans="1:19">
      <c r="A508" s="92">
        <v>43170</v>
      </c>
      <c r="C508" s="1" t="s">
        <v>56</v>
      </c>
      <c r="E508" s="98" t="s">
        <v>798</v>
      </c>
      <c r="F508" s="1" t="s">
        <v>799</v>
      </c>
      <c r="G508" s="1" t="s">
        <v>2338</v>
      </c>
      <c r="H508" s="1">
        <v>2.8</v>
      </c>
      <c r="I508" s="1" t="s">
        <v>763</v>
      </c>
      <c r="J508" s="1">
        <v>0.84</v>
      </c>
      <c r="K508" s="1" t="s">
        <v>167</v>
      </c>
      <c r="L508" s="1" t="s">
        <v>117</v>
      </c>
      <c r="M508" s="1" t="s">
        <v>2661</v>
      </c>
      <c r="N508" s="1" t="s">
        <v>72</v>
      </c>
      <c r="O508" s="1" t="s">
        <v>64</v>
      </c>
      <c r="P508" s="1" t="s">
        <v>53</v>
      </c>
      <c r="R508" s="93">
        <v>43170</v>
      </c>
      <c r="S508" s="93" t="s">
        <v>2721</v>
      </c>
    </row>
    <row r="509" spans="1:19">
      <c r="A509" s="92">
        <v>43170</v>
      </c>
      <c r="C509" s="1" t="s">
        <v>56</v>
      </c>
      <c r="E509" s="98" t="s">
        <v>800</v>
      </c>
      <c r="F509" s="1" t="s">
        <v>801</v>
      </c>
      <c r="G509" s="1" t="s">
        <v>1990</v>
      </c>
      <c r="H509" s="1">
        <v>5.34</v>
      </c>
      <c r="I509" s="1" t="s">
        <v>763</v>
      </c>
      <c r="J509" s="1">
        <v>1.6020000000000001</v>
      </c>
      <c r="K509" s="1" t="s">
        <v>358</v>
      </c>
      <c r="L509" s="1" t="s">
        <v>117</v>
      </c>
      <c r="M509" s="1" t="s">
        <v>2661</v>
      </c>
      <c r="N509" s="1" t="s">
        <v>72</v>
      </c>
      <c r="O509" s="1" t="s">
        <v>64</v>
      </c>
      <c r="P509" s="1" t="s">
        <v>53</v>
      </c>
      <c r="R509" s="93">
        <v>43170</v>
      </c>
      <c r="S509" s="93" t="s">
        <v>2721</v>
      </c>
    </row>
    <row r="510" spans="1:19">
      <c r="A510" s="92">
        <v>43171</v>
      </c>
      <c r="C510" s="1" t="s">
        <v>56</v>
      </c>
      <c r="E510" s="98" t="s">
        <v>662</v>
      </c>
      <c r="F510" s="1" t="s">
        <v>663</v>
      </c>
      <c r="G510" s="1" t="s">
        <v>2283</v>
      </c>
      <c r="H510" s="1">
        <v>0.56000000000000005</v>
      </c>
      <c r="I510" s="1" t="s">
        <v>763</v>
      </c>
      <c r="J510" s="1">
        <v>0.16800000000000001</v>
      </c>
      <c r="K510" s="1" t="s">
        <v>70</v>
      </c>
      <c r="L510" s="1" t="s">
        <v>70</v>
      </c>
      <c r="M510" s="1" t="s">
        <v>71</v>
      </c>
      <c r="N510" s="1" t="s">
        <v>72</v>
      </c>
      <c r="O510" s="1" t="s">
        <v>64</v>
      </c>
      <c r="P510" s="1" t="s">
        <v>73</v>
      </c>
      <c r="R510" s="93">
        <v>43171</v>
      </c>
      <c r="S510" s="93" t="s">
        <v>2721</v>
      </c>
    </row>
    <row r="511" spans="1:19">
      <c r="A511" s="92">
        <v>43171</v>
      </c>
      <c r="C511" s="1" t="s">
        <v>56</v>
      </c>
      <c r="E511" s="98" t="s">
        <v>380</v>
      </c>
      <c r="F511" s="1" t="s">
        <v>381</v>
      </c>
      <c r="G511" s="1" t="s">
        <v>2178</v>
      </c>
      <c r="H511" s="1">
        <v>0.3</v>
      </c>
      <c r="I511" s="1" t="s">
        <v>763</v>
      </c>
      <c r="J511" s="1">
        <v>0.09</v>
      </c>
      <c r="K511" s="1" t="s">
        <v>175</v>
      </c>
      <c r="L511" s="1" t="s">
        <v>131</v>
      </c>
      <c r="M511" s="1" t="s">
        <v>132</v>
      </c>
      <c r="N511" s="1" t="s">
        <v>72</v>
      </c>
      <c r="O511" s="1" t="s">
        <v>64</v>
      </c>
      <c r="P511" s="1" t="s">
        <v>133</v>
      </c>
      <c r="R511" s="93">
        <v>43171</v>
      </c>
      <c r="S511" s="93" t="s">
        <v>2721</v>
      </c>
    </row>
    <row r="512" spans="1:19">
      <c r="A512" s="92">
        <v>43171</v>
      </c>
      <c r="C512" s="1" t="s">
        <v>66</v>
      </c>
      <c r="E512" s="98" t="s">
        <v>804</v>
      </c>
      <c r="F512" s="1" t="s">
        <v>805</v>
      </c>
      <c r="G512" s="1" t="s">
        <v>2339</v>
      </c>
      <c r="H512" s="1">
        <v>3.05</v>
      </c>
      <c r="I512" s="1" t="s">
        <v>763</v>
      </c>
      <c r="J512" s="1">
        <v>0.91500000000000004</v>
      </c>
      <c r="K512" s="1" t="s">
        <v>167</v>
      </c>
      <c r="L512" s="1" t="s">
        <v>117</v>
      </c>
      <c r="M512" s="1" t="s">
        <v>2661</v>
      </c>
      <c r="N512" s="1" t="s">
        <v>72</v>
      </c>
      <c r="O512" s="1" t="s">
        <v>64</v>
      </c>
      <c r="P512" s="1" t="s">
        <v>53</v>
      </c>
      <c r="R512" s="93">
        <v>43171</v>
      </c>
      <c r="S512" s="93" t="s">
        <v>2721</v>
      </c>
    </row>
    <row r="513" spans="1:19">
      <c r="A513" s="92">
        <v>43171</v>
      </c>
      <c r="C513" s="1" t="s">
        <v>56</v>
      </c>
      <c r="E513" s="98" t="s">
        <v>806</v>
      </c>
      <c r="F513" s="1" t="s">
        <v>807</v>
      </c>
      <c r="G513" s="1" t="s">
        <v>2340</v>
      </c>
      <c r="H513" s="1">
        <v>7.4</v>
      </c>
      <c r="I513" s="1" t="s">
        <v>808</v>
      </c>
      <c r="J513" s="1">
        <v>2.2200000000000002</v>
      </c>
      <c r="K513" s="1" t="s">
        <v>109</v>
      </c>
      <c r="L513" s="1" t="s">
        <v>110</v>
      </c>
      <c r="M513" s="1" t="s">
        <v>52</v>
      </c>
      <c r="N513" s="1" t="s">
        <v>63</v>
      </c>
      <c r="O513" s="1" t="s">
        <v>64</v>
      </c>
      <c r="P513" s="1" t="s">
        <v>111</v>
      </c>
      <c r="R513" s="93">
        <v>43171</v>
      </c>
      <c r="S513" s="93" t="s">
        <v>2722</v>
      </c>
    </row>
    <row r="514" spans="1:19">
      <c r="A514" s="92">
        <v>43171</v>
      </c>
      <c r="C514" s="1" t="s">
        <v>56</v>
      </c>
      <c r="E514" s="98" t="s">
        <v>811</v>
      </c>
      <c r="F514" s="1" t="s">
        <v>812</v>
      </c>
      <c r="G514" s="1" t="s">
        <v>2341</v>
      </c>
      <c r="H514" s="1">
        <v>3.1</v>
      </c>
      <c r="I514" s="1" t="s">
        <v>808</v>
      </c>
      <c r="J514" s="1">
        <v>0.93</v>
      </c>
      <c r="K514" s="1" t="s">
        <v>812</v>
      </c>
      <c r="L514" s="1" t="s">
        <v>102</v>
      </c>
      <c r="M514" s="1" t="s">
        <v>94</v>
      </c>
      <c r="N514" s="1" t="s">
        <v>72</v>
      </c>
      <c r="O514" s="1" t="s">
        <v>64</v>
      </c>
      <c r="P514" s="1" t="s">
        <v>95</v>
      </c>
      <c r="R514" s="93">
        <v>43171</v>
      </c>
      <c r="S514" s="93" t="s">
        <v>2722</v>
      </c>
    </row>
    <row r="515" spans="1:19">
      <c r="A515" s="92">
        <v>43171</v>
      </c>
      <c r="C515" s="1" t="s">
        <v>56</v>
      </c>
      <c r="E515" s="98" t="s">
        <v>813</v>
      </c>
      <c r="F515" s="1" t="s">
        <v>814</v>
      </c>
      <c r="G515" s="1" t="s">
        <v>2007</v>
      </c>
      <c r="H515" s="1">
        <v>26</v>
      </c>
      <c r="I515" s="1" t="s">
        <v>808</v>
      </c>
      <c r="J515" s="1">
        <v>7.8</v>
      </c>
      <c r="K515" s="1" t="s">
        <v>121</v>
      </c>
      <c r="L515" s="1" t="s">
        <v>93</v>
      </c>
      <c r="M515" s="1" t="s">
        <v>94</v>
      </c>
      <c r="N515" s="1" t="s">
        <v>72</v>
      </c>
      <c r="O515" s="1" t="s">
        <v>64</v>
      </c>
      <c r="P515" s="1" t="s">
        <v>95</v>
      </c>
      <c r="R515" s="93">
        <v>43171</v>
      </c>
      <c r="S515" s="93" t="s">
        <v>2722</v>
      </c>
    </row>
    <row r="516" spans="1:19">
      <c r="A516" s="92">
        <v>43171</v>
      </c>
      <c r="C516" s="1" t="s">
        <v>56</v>
      </c>
      <c r="E516" s="98" t="s">
        <v>815</v>
      </c>
      <c r="F516" s="1" t="s">
        <v>816</v>
      </c>
      <c r="G516" s="1" t="s">
        <v>2342</v>
      </c>
      <c r="H516" s="1">
        <v>1</v>
      </c>
      <c r="I516" s="1" t="s">
        <v>808</v>
      </c>
      <c r="J516" s="1">
        <v>0.3</v>
      </c>
      <c r="K516" s="1" t="s">
        <v>114</v>
      </c>
      <c r="L516" s="1" t="s">
        <v>85</v>
      </c>
      <c r="M516" s="1" t="s">
        <v>71</v>
      </c>
      <c r="N516" s="1" t="s">
        <v>72</v>
      </c>
      <c r="O516" s="1" t="s">
        <v>64</v>
      </c>
      <c r="P516" s="1" t="s">
        <v>73</v>
      </c>
      <c r="R516" s="93">
        <v>43171</v>
      </c>
      <c r="S516" s="93" t="s">
        <v>2722</v>
      </c>
    </row>
    <row r="517" spans="1:19">
      <c r="A517" s="92">
        <v>43171</v>
      </c>
      <c r="C517" s="1" t="s">
        <v>56</v>
      </c>
      <c r="E517" s="98" t="s">
        <v>817</v>
      </c>
      <c r="F517" s="1" t="s">
        <v>818</v>
      </c>
      <c r="G517" s="1" t="s">
        <v>2343</v>
      </c>
      <c r="H517" s="1">
        <v>2</v>
      </c>
      <c r="I517" s="1" t="s">
        <v>808</v>
      </c>
      <c r="J517" s="1">
        <v>0.6</v>
      </c>
      <c r="K517" s="1" t="s">
        <v>434</v>
      </c>
      <c r="L517" s="1" t="s">
        <v>269</v>
      </c>
      <c r="M517" s="1" t="s">
        <v>132</v>
      </c>
      <c r="N517" s="1" t="s">
        <v>72</v>
      </c>
      <c r="O517" s="1" t="s">
        <v>64</v>
      </c>
      <c r="P517" s="1" t="s">
        <v>133</v>
      </c>
      <c r="R517" s="93">
        <v>43171</v>
      </c>
      <c r="S517" s="93" t="s">
        <v>2722</v>
      </c>
    </row>
    <row r="518" spans="1:19">
      <c r="A518" s="92">
        <v>43171</v>
      </c>
      <c r="C518" s="1" t="s">
        <v>66</v>
      </c>
      <c r="E518" s="98" t="s">
        <v>819</v>
      </c>
      <c r="F518" s="1" t="s">
        <v>820</v>
      </c>
      <c r="G518" s="1" t="s">
        <v>2344</v>
      </c>
      <c r="H518" s="1">
        <v>0.1</v>
      </c>
      <c r="I518" s="1" t="s">
        <v>808</v>
      </c>
      <c r="J518" s="1">
        <v>0.03</v>
      </c>
      <c r="K518" s="1" t="s">
        <v>821</v>
      </c>
      <c r="L518" s="1" t="s">
        <v>253</v>
      </c>
      <c r="M518" s="1" t="s">
        <v>94</v>
      </c>
      <c r="N518" s="1" t="s">
        <v>72</v>
      </c>
      <c r="O518" s="1" t="s">
        <v>64</v>
      </c>
      <c r="P518" s="1" t="s">
        <v>95</v>
      </c>
      <c r="R518" s="93">
        <v>43171</v>
      </c>
      <c r="S518" s="93" t="s">
        <v>2722</v>
      </c>
    </row>
    <row r="519" spans="1:19">
      <c r="A519" s="92">
        <v>43172</v>
      </c>
      <c r="C519" s="1" t="s">
        <v>56</v>
      </c>
      <c r="E519" s="98" t="s">
        <v>778</v>
      </c>
      <c r="F519" s="1" t="s">
        <v>779</v>
      </c>
      <c r="G519" s="1" t="s">
        <v>2020</v>
      </c>
      <c r="H519" s="1">
        <v>3.5</v>
      </c>
      <c r="I519" s="1" t="s">
        <v>808</v>
      </c>
      <c r="J519" s="1">
        <v>1.05</v>
      </c>
      <c r="K519" s="1" t="s">
        <v>167</v>
      </c>
      <c r="L519" s="1" t="s">
        <v>117</v>
      </c>
      <c r="M519" s="1" t="s">
        <v>2661</v>
      </c>
      <c r="N519" s="1" t="s">
        <v>72</v>
      </c>
      <c r="O519" s="1" t="s">
        <v>64</v>
      </c>
      <c r="P519" s="1" t="s">
        <v>53</v>
      </c>
      <c r="R519" s="93">
        <v>43172</v>
      </c>
      <c r="S519" s="93" t="s">
        <v>2722</v>
      </c>
    </row>
    <row r="520" spans="1:19">
      <c r="A520" s="92">
        <v>43172</v>
      </c>
      <c r="C520" s="1" t="s">
        <v>56</v>
      </c>
      <c r="E520" s="98" t="s">
        <v>258</v>
      </c>
      <c r="F520" s="1" t="s">
        <v>259</v>
      </c>
      <c r="G520" s="1" t="s">
        <v>2131</v>
      </c>
      <c r="H520" s="1">
        <v>0.4</v>
      </c>
      <c r="I520" s="1" t="s">
        <v>822</v>
      </c>
      <c r="J520" s="1">
        <v>0.6</v>
      </c>
      <c r="K520" s="1" t="s">
        <v>127</v>
      </c>
      <c r="L520" s="1" t="s">
        <v>110</v>
      </c>
      <c r="M520" s="1" t="s">
        <v>52</v>
      </c>
      <c r="N520" s="1" t="s">
        <v>63</v>
      </c>
      <c r="O520" s="1" t="s">
        <v>64</v>
      </c>
      <c r="P520" s="1" t="s">
        <v>111</v>
      </c>
      <c r="R520" s="93">
        <v>43172</v>
      </c>
      <c r="S520" s="93" t="s">
        <v>2723</v>
      </c>
    </row>
    <row r="521" spans="1:19">
      <c r="A521" s="92">
        <v>43171</v>
      </c>
      <c r="C521" s="1" t="s">
        <v>66</v>
      </c>
      <c r="E521" s="98" t="s">
        <v>823</v>
      </c>
      <c r="F521" s="1" t="s">
        <v>824</v>
      </c>
      <c r="G521" s="1" t="s">
        <v>2345</v>
      </c>
      <c r="H521" s="1">
        <v>1</v>
      </c>
      <c r="I521" s="1" t="s">
        <v>825</v>
      </c>
      <c r="J521" s="1">
        <v>1</v>
      </c>
      <c r="K521" s="1" t="s">
        <v>114</v>
      </c>
      <c r="L521" s="1" t="s">
        <v>85</v>
      </c>
      <c r="M521" s="1" t="s">
        <v>71</v>
      </c>
      <c r="N521" s="1" t="s">
        <v>72</v>
      </c>
      <c r="O521" s="1" t="s">
        <v>64</v>
      </c>
      <c r="P521" s="1" t="s">
        <v>73</v>
      </c>
      <c r="R521" s="93">
        <v>43171</v>
      </c>
      <c r="S521" s="93" t="s">
        <v>2724</v>
      </c>
    </row>
    <row r="522" spans="1:19">
      <c r="A522" s="92">
        <v>43171</v>
      </c>
      <c r="C522" s="1" t="s">
        <v>56</v>
      </c>
      <c r="E522" s="98" t="s">
        <v>828</v>
      </c>
      <c r="F522" s="1" t="s">
        <v>829</v>
      </c>
      <c r="G522" s="1" t="s">
        <v>2346</v>
      </c>
      <c r="H522" s="1">
        <v>10</v>
      </c>
      <c r="I522" s="1" t="s">
        <v>825</v>
      </c>
      <c r="J522" s="1">
        <v>10</v>
      </c>
      <c r="K522" s="1" t="s">
        <v>443</v>
      </c>
      <c r="L522" s="1" t="s">
        <v>269</v>
      </c>
      <c r="M522" s="1" t="s">
        <v>132</v>
      </c>
      <c r="N522" s="1" t="s">
        <v>72</v>
      </c>
      <c r="O522" s="1" t="s">
        <v>64</v>
      </c>
      <c r="P522" s="1" t="s">
        <v>133</v>
      </c>
      <c r="R522" s="93">
        <v>43171</v>
      </c>
      <c r="S522" s="93" t="s">
        <v>2724</v>
      </c>
    </row>
    <row r="523" spans="1:19">
      <c r="A523" s="92">
        <v>43171</v>
      </c>
      <c r="C523" s="1" t="s">
        <v>56</v>
      </c>
      <c r="E523" s="98" t="s">
        <v>830</v>
      </c>
      <c r="F523" s="1" t="s">
        <v>831</v>
      </c>
      <c r="G523" s="1" t="s">
        <v>2347</v>
      </c>
      <c r="H523" s="1">
        <v>3</v>
      </c>
      <c r="I523" s="1" t="s">
        <v>832</v>
      </c>
      <c r="J523" s="1">
        <v>1.8</v>
      </c>
      <c r="K523" s="1" t="s">
        <v>296</v>
      </c>
      <c r="L523" s="1" t="s">
        <v>93</v>
      </c>
      <c r="M523" s="1" t="s">
        <v>94</v>
      </c>
      <c r="N523" s="1" t="s">
        <v>72</v>
      </c>
      <c r="O523" s="1" t="s">
        <v>64</v>
      </c>
      <c r="P523" s="1" t="s">
        <v>95</v>
      </c>
      <c r="R523" s="93">
        <v>43171</v>
      </c>
      <c r="S523" s="93" t="s">
        <v>2725</v>
      </c>
    </row>
    <row r="524" spans="1:19">
      <c r="A524" s="92">
        <v>43171</v>
      </c>
      <c r="C524" s="1" t="s">
        <v>66</v>
      </c>
      <c r="E524" s="98" t="s">
        <v>833</v>
      </c>
      <c r="F524" s="1" t="s">
        <v>834</v>
      </c>
      <c r="G524" s="1" t="s">
        <v>2348</v>
      </c>
      <c r="H524" s="1">
        <v>2</v>
      </c>
      <c r="I524" s="1" t="s">
        <v>835</v>
      </c>
      <c r="J524" s="1">
        <v>2</v>
      </c>
      <c r="K524" s="1" t="s">
        <v>109</v>
      </c>
      <c r="L524" s="1" t="s">
        <v>110</v>
      </c>
      <c r="M524" s="1" t="s">
        <v>52</v>
      </c>
      <c r="N524" s="1" t="s">
        <v>63</v>
      </c>
      <c r="O524" s="1" t="s">
        <v>64</v>
      </c>
      <c r="P524" s="1" t="s">
        <v>111</v>
      </c>
      <c r="R524" s="93">
        <v>43171</v>
      </c>
      <c r="S524" s="93" t="s">
        <v>2724</v>
      </c>
    </row>
    <row r="525" spans="1:19">
      <c r="A525" s="92">
        <v>43171</v>
      </c>
      <c r="C525" s="1" t="s">
        <v>56</v>
      </c>
      <c r="E525" s="98" t="s">
        <v>836</v>
      </c>
      <c r="F525" s="1" t="s">
        <v>837</v>
      </c>
      <c r="G525" s="1" t="s">
        <v>2349</v>
      </c>
      <c r="H525" s="1">
        <v>1</v>
      </c>
      <c r="I525" s="1" t="s">
        <v>835</v>
      </c>
      <c r="J525" s="1">
        <v>1</v>
      </c>
      <c r="K525" s="1" t="s">
        <v>434</v>
      </c>
      <c r="L525" s="1" t="s">
        <v>269</v>
      </c>
      <c r="M525" s="1" t="s">
        <v>132</v>
      </c>
      <c r="N525" s="1" t="s">
        <v>72</v>
      </c>
      <c r="O525" s="1" t="s">
        <v>64</v>
      </c>
      <c r="P525" s="1" t="s">
        <v>133</v>
      </c>
      <c r="R525" s="93">
        <v>43171</v>
      </c>
      <c r="S525" s="93" t="s">
        <v>2724</v>
      </c>
    </row>
    <row r="526" spans="1:19">
      <c r="A526" s="92">
        <v>43171</v>
      </c>
      <c r="C526" s="1" t="s">
        <v>56</v>
      </c>
      <c r="E526" s="98" t="s">
        <v>838</v>
      </c>
      <c r="F526" s="1" t="s">
        <v>839</v>
      </c>
      <c r="G526" s="1" t="s">
        <v>2350</v>
      </c>
      <c r="H526" s="1">
        <v>10.037533999999999</v>
      </c>
      <c r="I526" s="1" t="s">
        <v>835</v>
      </c>
      <c r="J526" s="1">
        <v>10.037533999999999</v>
      </c>
      <c r="K526" s="1" t="s">
        <v>252</v>
      </c>
      <c r="L526" s="1" t="s">
        <v>253</v>
      </c>
      <c r="M526" s="1" t="s">
        <v>94</v>
      </c>
      <c r="N526" s="1" t="s">
        <v>72</v>
      </c>
      <c r="O526" s="1" t="s">
        <v>64</v>
      </c>
      <c r="P526" s="1" t="s">
        <v>95</v>
      </c>
      <c r="R526" s="93">
        <v>43171</v>
      </c>
      <c r="S526" s="93" t="s">
        <v>2724</v>
      </c>
    </row>
    <row r="527" spans="1:19">
      <c r="A527" s="92">
        <v>43171</v>
      </c>
      <c r="C527" s="1" t="s">
        <v>56</v>
      </c>
      <c r="E527" s="98" t="s">
        <v>840</v>
      </c>
      <c r="F527" s="1" t="s">
        <v>841</v>
      </c>
      <c r="G527" s="1" t="s">
        <v>2351</v>
      </c>
      <c r="H527" s="1">
        <v>3.39</v>
      </c>
      <c r="I527" s="1" t="s">
        <v>835</v>
      </c>
      <c r="J527" s="1">
        <v>3.39</v>
      </c>
      <c r="K527" s="1" t="s">
        <v>434</v>
      </c>
      <c r="L527" s="1" t="s">
        <v>269</v>
      </c>
      <c r="M527" s="1" t="s">
        <v>132</v>
      </c>
      <c r="N527" s="1" t="s">
        <v>72</v>
      </c>
      <c r="O527" s="1" t="s">
        <v>64</v>
      </c>
      <c r="P527" s="1" t="s">
        <v>133</v>
      </c>
      <c r="R527" s="93">
        <v>43171</v>
      </c>
      <c r="S527" s="93" t="s">
        <v>2724</v>
      </c>
    </row>
    <row r="528" spans="1:19">
      <c r="A528" s="92">
        <v>43171</v>
      </c>
      <c r="C528" s="1" t="s">
        <v>66</v>
      </c>
      <c r="E528" s="98" t="s">
        <v>731</v>
      </c>
      <c r="F528" s="1" t="s">
        <v>732</v>
      </c>
      <c r="G528" s="1" t="s">
        <v>2311</v>
      </c>
      <c r="H528" s="1">
        <v>20</v>
      </c>
      <c r="I528" s="1" t="s">
        <v>835</v>
      </c>
      <c r="J528" s="1">
        <v>20</v>
      </c>
      <c r="K528" s="1" t="s">
        <v>136</v>
      </c>
      <c r="L528" s="1" t="s">
        <v>85</v>
      </c>
      <c r="M528" s="1" t="s">
        <v>71</v>
      </c>
      <c r="N528" s="1" t="s">
        <v>72</v>
      </c>
      <c r="O528" s="1" t="s">
        <v>64</v>
      </c>
      <c r="P528" s="1" t="s">
        <v>73</v>
      </c>
      <c r="R528" s="93">
        <v>43171</v>
      </c>
      <c r="S528" s="93" t="s">
        <v>2724</v>
      </c>
    </row>
    <row r="529" spans="1:19">
      <c r="A529" s="92">
        <v>43171</v>
      </c>
      <c r="C529" s="1" t="s">
        <v>66</v>
      </c>
      <c r="E529" s="98" t="s">
        <v>842</v>
      </c>
      <c r="F529" s="1" t="s">
        <v>843</v>
      </c>
      <c r="G529" s="1" t="s">
        <v>2352</v>
      </c>
      <c r="H529" s="1">
        <v>1</v>
      </c>
      <c r="I529" s="1" t="s">
        <v>835</v>
      </c>
      <c r="J529" s="1">
        <v>1</v>
      </c>
      <c r="K529" s="1" t="s">
        <v>496</v>
      </c>
      <c r="L529" s="1" t="s">
        <v>117</v>
      </c>
      <c r="M529" s="1" t="s">
        <v>2661</v>
      </c>
      <c r="N529" s="1" t="s">
        <v>72</v>
      </c>
      <c r="O529" s="1" t="s">
        <v>64</v>
      </c>
      <c r="P529" s="1" t="s">
        <v>53</v>
      </c>
      <c r="R529" s="93">
        <v>43171</v>
      </c>
      <c r="S529" s="93" t="s">
        <v>2724</v>
      </c>
    </row>
    <row r="530" spans="1:19">
      <c r="A530" s="92">
        <v>43171</v>
      </c>
      <c r="C530" s="1" t="s">
        <v>56</v>
      </c>
      <c r="E530" s="98" t="s">
        <v>844</v>
      </c>
      <c r="F530" s="1" t="s">
        <v>845</v>
      </c>
      <c r="G530" s="1" t="s">
        <v>2353</v>
      </c>
      <c r="H530" s="1">
        <v>7</v>
      </c>
      <c r="I530" s="1" t="s">
        <v>835</v>
      </c>
      <c r="J530" s="1">
        <v>7</v>
      </c>
      <c r="K530" s="1" t="s">
        <v>149</v>
      </c>
      <c r="L530" s="1" t="s">
        <v>150</v>
      </c>
      <c r="M530" s="1" t="s">
        <v>132</v>
      </c>
      <c r="N530" s="1" t="s">
        <v>72</v>
      </c>
      <c r="O530" s="1" t="s">
        <v>64</v>
      </c>
      <c r="P530" s="1" t="s">
        <v>133</v>
      </c>
      <c r="R530" s="93">
        <v>43171</v>
      </c>
      <c r="S530" s="93" t="s">
        <v>2724</v>
      </c>
    </row>
    <row r="531" spans="1:19">
      <c r="A531" s="92">
        <v>43171</v>
      </c>
      <c r="C531" s="1" t="s">
        <v>66</v>
      </c>
      <c r="E531" s="98" t="s">
        <v>819</v>
      </c>
      <c r="F531" s="1" t="s">
        <v>820</v>
      </c>
      <c r="G531" s="1" t="s">
        <v>2344</v>
      </c>
      <c r="H531" s="1">
        <v>1</v>
      </c>
      <c r="I531" s="1" t="s">
        <v>835</v>
      </c>
      <c r="J531" s="1">
        <v>1</v>
      </c>
      <c r="K531" s="1" t="s">
        <v>821</v>
      </c>
      <c r="L531" s="1" t="s">
        <v>253</v>
      </c>
      <c r="M531" s="1" t="s">
        <v>94</v>
      </c>
      <c r="N531" s="1" t="s">
        <v>72</v>
      </c>
      <c r="O531" s="1" t="s">
        <v>64</v>
      </c>
      <c r="P531" s="1" t="s">
        <v>95</v>
      </c>
      <c r="R531" s="93">
        <v>43171</v>
      </c>
      <c r="S531" s="93" t="s">
        <v>2724</v>
      </c>
    </row>
    <row r="532" spans="1:19">
      <c r="A532" s="92">
        <v>43171</v>
      </c>
      <c r="C532" s="1" t="s">
        <v>56</v>
      </c>
      <c r="E532" s="98" t="s">
        <v>501</v>
      </c>
      <c r="F532" s="1" t="s">
        <v>502</v>
      </c>
      <c r="G532" s="1" t="s">
        <v>2222</v>
      </c>
      <c r="H532" s="1">
        <v>0.5</v>
      </c>
      <c r="I532" s="1" t="s">
        <v>835</v>
      </c>
      <c r="J532" s="1">
        <v>0.5</v>
      </c>
      <c r="K532" s="1" t="s">
        <v>70</v>
      </c>
      <c r="L532" s="1" t="s">
        <v>70</v>
      </c>
      <c r="M532" s="1" t="s">
        <v>71</v>
      </c>
      <c r="N532" s="1" t="s">
        <v>72</v>
      </c>
      <c r="O532" s="1" t="s">
        <v>64</v>
      </c>
      <c r="P532" s="1" t="s">
        <v>73</v>
      </c>
      <c r="R532" s="93">
        <v>43171</v>
      </c>
      <c r="S532" s="93" t="s">
        <v>2724</v>
      </c>
    </row>
    <row r="533" spans="1:19">
      <c r="A533" s="92">
        <v>43171</v>
      </c>
      <c r="C533" s="1" t="s">
        <v>56</v>
      </c>
      <c r="E533" s="98" t="s">
        <v>846</v>
      </c>
      <c r="F533" s="1" t="s">
        <v>847</v>
      </c>
      <c r="G533" s="1" t="s">
        <v>2354</v>
      </c>
      <c r="H533" s="1">
        <v>2</v>
      </c>
      <c r="I533" s="1" t="s">
        <v>835</v>
      </c>
      <c r="J533" s="1">
        <v>2</v>
      </c>
      <c r="K533" s="1" t="s">
        <v>434</v>
      </c>
      <c r="L533" s="1" t="s">
        <v>269</v>
      </c>
      <c r="M533" s="1" t="s">
        <v>132</v>
      </c>
      <c r="N533" s="1" t="s">
        <v>72</v>
      </c>
      <c r="O533" s="1" t="s">
        <v>64</v>
      </c>
      <c r="P533" s="1" t="s">
        <v>133</v>
      </c>
      <c r="R533" s="93">
        <v>43171</v>
      </c>
      <c r="S533" s="93" t="s">
        <v>2724</v>
      </c>
    </row>
    <row r="534" spans="1:19">
      <c r="A534" s="92">
        <v>43171</v>
      </c>
      <c r="C534" s="1" t="s">
        <v>56</v>
      </c>
      <c r="E534" s="98" t="s">
        <v>848</v>
      </c>
      <c r="F534" s="1" t="s">
        <v>849</v>
      </c>
      <c r="G534" s="1" t="s">
        <v>2355</v>
      </c>
      <c r="H534" s="1">
        <v>10</v>
      </c>
      <c r="I534" s="1" t="s">
        <v>835</v>
      </c>
      <c r="J534" s="1">
        <v>10</v>
      </c>
      <c r="K534" s="1" t="s">
        <v>563</v>
      </c>
      <c r="L534" s="1" t="s">
        <v>281</v>
      </c>
      <c r="M534" s="1" t="s">
        <v>71</v>
      </c>
      <c r="N534" s="1" t="s">
        <v>72</v>
      </c>
      <c r="O534" s="1" t="s">
        <v>64</v>
      </c>
      <c r="P534" s="1" t="s">
        <v>73</v>
      </c>
      <c r="R534" s="93">
        <v>43171</v>
      </c>
      <c r="S534" s="93" t="s">
        <v>2724</v>
      </c>
    </row>
    <row r="535" spans="1:19">
      <c r="A535" s="92">
        <v>43171</v>
      </c>
      <c r="C535" s="1" t="s">
        <v>66</v>
      </c>
      <c r="E535" s="98" t="s">
        <v>850</v>
      </c>
      <c r="F535" s="1" t="s">
        <v>851</v>
      </c>
      <c r="G535" s="1" t="s">
        <v>2356</v>
      </c>
      <c r="H535" s="1">
        <v>5</v>
      </c>
      <c r="I535" s="1" t="s">
        <v>835</v>
      </c>
      <c r="J535" s="1">
        <v>5</v>
      </c>
      <c r="K535" s="1" t="s">
        <v>149</v>
      </c>
      <c r="L535" s="1" t="s">
        <v>150</v>
      </c>
      <c r="M535" s="1" t="s">
        <v>132</v>
      </c>
      <c r="N535" s="1" t="s">
        <v>72</v>
      </c>
      <c r="O535" s="1" t="s">
        <v>64</v>
      </c>
      <c r="P535" s="1" t="s">
        <v>133</v>
      </c>
      <c r="R535" s="93">
        <v>43171</v>
      </c>
      <c r="S535" s="93" t="s">
        <v>2724</v>
      </c>
    </row>
    <row r="536" spans="1:19">
      <c r="A536" s="92">
        <v>43172</v>
      </c>
      <c r="C536" s="1" t="s">
        <v>56</v>
      </c>
      <c r="E536" s="98" t="s">
        <v>852</v>
      </c>
      <c r="F536" s="1" t="s">
        <v>853</v>
      </c>
      <c r="G536" s="1" t="s">
        <v>2357</v>
      </c>
      <c r="H536" s="1">
        <v>1.117586</v>
      </c>
      <c r="I536" s="1" t="s">
        <v>835</v>
      </c>
      <c r="J536" s="1">
        <v>1.117586</v>
      </c>
      <c r="K536" s="1" t="s">
        <v>274</v>
      </c>
      <c r="L536" s="1" t="s">
        <v>216</v>
      </c>
      <c r="M536" s="1" t="s">
        <v>52</v>
      </c>
      <c r="N536" s="1" t="s">
        <v>63</v>
      </c>
      <c r="O536" s="1" t="s">
        <v>64</v>
      </c>
      <c r="P536" s="1" t="s">
        <v>111</v>
      </c>
      <c r="R536" s="93">
        <v>43172</v>
      </c>
      <c r="S536" s="93" t="s">
        <v>2724</v>
      </c>
    </row>
    <row r="537" spans="1:19">
      <c r="A537" s="92">
        <v>43172</v>
      </c>
      <c r="C537" s="1" t="s">
        <v>56</v>
      </c>
      <c r="E537" s="98" t="s">
        <v>854</v>
      </c>
      <c r="F537" s="1" t="s">
        <v>855</v>
      </c>
      <c r="G537" s="1" t="s">
        <v>2358</v>
      </c>
      <c r="H537" s="1">
        <v>1</v>
      </c>
      <c r="I537" s="1" t="s">
        <v>835</v>
      </c>
      <c r="J537" s="1">
        <v>1</v>
      </c>
      <c r="K537" s="1" t="s">
        <v>114</v>
      </c>
      <c r="L537" s="1" t="s">
        <v>85</v>
      </c>
      <c r="M537" s="1" t="s">
        <v>71</v>
      </c>
      <c r="N537" s="1" t="s">
        <v>72</v>
      </c>
      <c r="O537" s="1" t="s">
        <v>64</v>
      </c>
      <c r="P537" s="1" t="s">
        <v>73</v>
      </c>
      <c r="R537" s="93">
        <v>43172</v>
      </c>
      <c r="S537" s="93" t="s">
        <v>2724</v>
      </c>
    </row>
    <row r="538" spans="1:19">
      <c r="A538" s="92">
        <v>43172</v>
      </c>
      <c r="C538" s="1" t="s">
        <v>56</v>
      </c>
      <c r="E538" s="98" t="s">
        <v>856</v>
      </c>
      <c r="F538" s="1" t="s">
        <v>857</v>
      </c>
      <c r="G538" s="1" t="s">
        <v>2359</v>
      </c>
      <c r="H538" s="1">
        <v>3</v>
      </c>
      <c r="I538" s="1" t="s">
        <v>858</v>
      </c>
      <c r="J538" s="1">
        <v>3</v>
      </c>
      <c r="K538" s="1" t="s">
        <v>206</v>
      </c>
      <c r="L538" s="1" t="s">
        <v>70</v>
      </c>
      <c r="M538" s="1" t="s">
        <v>71</v>
      </c>
      <c r="N538" s="1" t="s">
        <v>72</v>
      </c>
      <c r="O538" s="1" t="s">
        <v>64</v>
      </c>
      <c r="P538" s="1" t="s">
        <v>73</v>
      </c>
      <c r="R538" s="93">
        <v>43172</v>
      </c>
      <c r="S538" s="93" t="s">
        <v>2726</v>
      </c>
    </row>
    <row r="539" spans="1:19">
      <c r="A539" s="92">
        <v>43172</v>
      </c>
      <c r="C539" s="1" t="s">
        <v>56</v>
      </c>
      <c r="E539" s="98" t="s">
        <v>859</v>
      </c>
      <c r="F539" s="1" t="s">
        <v>860</v>
      </c>
      <c r="G539" s="1" t="s">
        <v>2360</v>
      </c>
      <c r="H539" s="1">
        <v>5</v>
      </c>
      <c r="I539" s="1" t="s">
        <v>858</v>
      </c>
      <c r="J539" s="1">
        <v>5</v>
      </c>
      <c r="K539" s="1" t="s">
        <v>353</v>
      </c>
      <c r="L539" s="1" t="s">
        <v>281</v>
      </c>
      <c r="M539" s="1" t="s">
        <v>71</v>
      </c>
      <c r="N539" s="1" t="s">
        <v>72</v>
      </c>
      <c r="O539" s="1" t="s">
        <v>64</v>
      </c>
      <c r="P539" s="1" t="s">
        <v>73</v>
      </c>
      <c r="R539" s="93">
        <v>43172</v>
      </c>
      <c r="S539" s="93" t="s">
        <v>2726</v>
      </c>
    </row>
    <row r="540" spans="1:19">
      <c r="A540" s="92">
        <v>43172</v>
      </c>
      <c r="C540" s="1" t="s">
        <v>66</v>
      </c>
      <c r="E540" s="98" t="s">
        <v>861</v>
      </c>
      <c r="F540" s="1" t="s">
        <v>862</v>
      </c>
      <c r="G540" s="1" t="s">
        <v>2361</v>
      </c>
      <c r="H540" s="1">
        <v>0.5</v>
      </c>
      <c r="I540" s="1" t="s">
        <v>858</v>
      </c>
      <c r="J540" s="1">
        <v>0.5</v>
      </c>
      <c r="K540" s="1" t="s">
        <v>69</v>
      </c>
      <c r="L540" s="1" t="s">
        <v>70</v>
      </c>
      <c r="M540" s="1" t="s">
        <v>71</v>
      </c>
      <c r="N540" s="1" t="s">
        <v>72</v>
      </c>
      <c r="O540" s="1" t="s">
        <v>64</v>
      </c>
      <c r="P540" s="1" t="s">
        <v>73</v>
      </c>
      <c r="R540" s="93">
        <v>43172</v>
      </c>
      <c r="S540" s="93" t="s">
        <v>2726</v>
      </c>
    </row>
    <row r="541" spans="1:19">
      <c r="A541" s="92">
        <v>43172</v>
      </c>
      <c r="C541" s="1" t="s">
        <v>56</v>
      </c>
      <c r="E541" s="98" t="s">
        <v>863</v>
      </c>
      <c r="F541" s="1" t="s">
        <v>864</v>
      </c>
      <c r="G541" s="1" t="s">
        <v>2362</v>
      </c>
      <c r="H541" s="1">
        <v>0.51</v>
      </c>
      <c r="I541" s="1" t="s">
        <v>858</v>
      </c>
      <c r="J541" s="1">
        <v>0.51</v>
      </c>
      <c r="K541" s="1" t="s">
        <v>865</v>
      </c>
      <c r="L541" s="1" t="s">
        <v>93</v>
      </c>
      <c r="M541" s="1" t="s">
        <v>94</v>
      </c>
      <c r="N541" s="1" t="s">
        <v>72</v>
      </c>
      <c r="O541" s="1" t="s">
        <v>64</v>
      </c>
      <c r="P541" s="1" t="s">
        <v>95</v>
      </c>
      <c r="R541" s="93">
        <v>43172</v>
      </c>
      <c r="S541" s="93" t="s">
        <v>2726</v>
      </c>
    </row>
    <row r="542" spans="1:19">
      <c r="A542" s="92">
        <v>43172</v>
      </c>
      <c r="C542" s="1" t="s">
        <v>56</v>
      </c>
      <c r="E542" s="98" t="s">
        <v>733</v>
      </c>
      <c r="F542" s="1" t="s">
        <v>734</v>
      </c>
      <c r="G542" s="1" t="s">
        <v>2312</v>
      </c>
      <c r="H542" s="1">
        <v>4</v>
      </c>
      <c r="I542" s="1" t="s">
        <v>858</v>
      </c>
      <c r="J542" s="1">
        <v>4</v>
      </c>
      <c r="K542" s="1" t="s">
        <v>312</v>
      </c>
      <c r="L542" s="1" t="s">
        <v>117</v>
      </c>
      <c r="M542" s="1" t="s">
        <v>2661</v>
      </c>
      <c r="N542" s="1" t="s">
        <v>72</v>
      </c>
      <c r="O542" s="1" t="s">
        <v>64</v>
      </c>
      <c r="P542" s="1" t="s">
        <v>53</v>
      </c>
      <c r="R542" s="93">
        <v>43172</v>
      </c>
      <c r="S542" s="93" t="s">
        <v>2726</v>
      </c>
    </row>
    <row r="543" spans="1:19">
      <c r="A543" s="92">
        <v>43172</v>
      </c>
      <c r="C543" s="1" t="s">
        <v>66</v>
      </c>
      <c r="E543" s="98" t="s">
        <v>868</v>
      </c>
      <c r="F543" s="1" t="s">
        <v>869</v>
      </c>
      <c r="G543" s="1" t="s">
        <v>2363</v>
      </c>
      <c r="H543" s="1">
        <v>1</v>
      </c>
      <c r="I543" s="1" t="s">
        <v>858</v>
      </c>
      <c r="J543" s="1">
        <v>1</v>
      </c>
      <c r="K543" s="1" t="s">
        <v>155</v>
      </c>
      <c r="L543" s="1" t="s">
        <v>70</v>
      </c>
      <c r="M543" s="1" t="s">
        <v>71</v>
      </c>
      <c r="N543" s="1" t="s">
        <v>72</v>
      </c>
      <c r="O543" s="1" t="s">
        <v>64</v>
      </c>
      <c r="P543" s="1" t="s">
        <v>73</v>
      </c>
      <c r="R543" s="93">
        <v>43172</v>
      </c>
      <c r="S543" s="93" t="s">
        <v>2726</v>
      </c>
    </row>
    <row r="544" spans="1:19">
      <c r="A544" s="92">
        <v>43172</v>
      </c>
      <c r="C544" s="1" t="s">
        <v>66</v>
      </c>
      <c r="E544" s="98" t="s">
        <v>870</v>
      </c>
      <c r="F544" s="1" t="s">
        <v>871</v>
      </c>
      <c r="G544" s="1" t="s">
        <v>2364</v>
      </c>
      <c r="H544" s="1">
        <v>3</v>
      </c>
      <c r="I544" s="1" t="s">
        <v>858</v>
      </c>
      <c r="J544" s="1">
        <v>3</v>
      </c>
      <c r="K544" s="1" t="s">
        <v>268</v>
      </c>
      <c r="L544" s="1" t="s">
        <v>269</v>
      </c>
      <c r="M544" s="1" t="s">
        <v>132</v>
      </c>
      <c r="N544" s="1" t="s">
        <v>72</v>
      </c>
      <c r="O544" s="1" t="s">
        <v>64</v>
      </c>
      <c r="P544" s="1" t="s">
        <v>133</v>
      </c>
      <c r="R544" s="93">
        <v>43172</v>
      </c>
      <c r="S544" s="93" t="s">
        <v>2726</v>
      </c>
    </row>
    <row r="545" spans="1:19">
      <c r="A545" s="92">
        <v>43172</v>
      </c>
      <c r="C545" s="1" t="s">
        <v>66</v>
      </c>
      <c r="E545" s="98" t="s">
        <v>872</v>
      </c>
      <c r="F545" s="1" t="s">
        <v>873</v>
      </c>
      <c r="G545" s="1" t="s">
        <v>2365</v>
      </c>
      <c r="H545" s="1">
        <v>12</v>
      </c>
      <c r="I545" s="1" t="s">
        <v>858</v>
      </c>
      <c r="J545" s="1">
        <v>12</v>
      </c>
      <c r="K545" s="1" t="s">
        <v>155</v>
      </c>
      <c r="L545" s="1" t="s">
        <v>70</v>
      </c>
      <c r="M545" s="1" t="s">
        <v>71</v>
      </c>
      <c r="N545" s="1" t="s">
        <v>72</v>
      </c>
      <c r="O545" s="1" t="s">
        <v>64</v>
      </c>
      <c r="P545" s="1" t="s">
        <v>73</v>
      </c>
      <c r="R545" s="93">
        <v>43172</v>
      </c>
      <c r="S545" s="93" t="s">
        <v>2726</v>
      </c>
    </row>
    <row r="546" spans="1:19">
      <c r="A546" s="92">
        <v>43172</v>
      </c>
      <c r="C546" s="1" t="s">
        <v>66</v>
      </c>
      <c r="E546" s="98" t="s">
        <v>874</v>
      </c>
      <c r="F546" s="1" t="s">
        <v>875</v>
      </c>
      <c r="G546" s="1" t="s">
        <v>2366</v>
      </c>
      <c r="H546" s="1">
        <v>10</v>
      </c>
      <c r="I546" s="1" t="s">
        <v>858</v>
      </c>
      <c r="J546" s="1">
        <v>10</v>
      </c>
      <c r="K546" s="1" t="s">
        <v>716</v>
      </c>
      <c r="L546" s="1" t="s">
        <v>105</v>
      </c>
      <c r="M546" s="1" t="s">
        <v>62</v>
      </c>
      <c r="N546" s="1" t="s">
        <v>63</v>
      </c>
      <c r="O546" s="1" t="s">
        <v>64</v>
      </c>
      <c r="P546" s="1" t="s">
        <v>65</v>
      </c>
      <c r="R546" s="93">
        <v>43172</v>
      </c>
      <c r="S546" s="93" t="s">
        <v>2726</v>
      </c>
    </row>
    <row r="547" spans="1:19">
      <c r="A547" s="92">
        <v>43172</v>
      </c>
      <c r="C547" s="1" t="s">
        <v>56</v>
      </c>
      <c r="E547" s="98" t="s">
        <v>876</v>
      </c>
      <c r="F547" s="1" t="s">
        <v>877</v>
      </c>
      <c r="G547" s="1" t="s">
        <v>2367</v>
      </c>
      <c r="H547" s="1">
        <v>5.31</v>
      </c>
      <c r="I547" s="1" t="s">
        <v>858</v>
      </c>
      <c r="J547" s="1">
        <v>5.31</v>
      </c>
      <c r="K547" s="1" t="s">
        <v>155</v>
      </c>
      <c r="L547" s="1" t="s">
        <v>70</v>
      </c>
      <c r="M547" s="1" t="s">
        <v>71</v>
      </c>
      <c r="N547" s="1" t="s">
        <v>72</v>
      </c>
      <c r="O547" s="1" t="s">
        <v>64</v>
      </c>
      <c r="P547" s="1" t="s">
        <v>73</v>
      </c>
      <c r="R547" s="93">
        <v>43172</v>
      </c>
      <c r="S547" s="93" t="s">
        <v>2726</v>
      </c>
    </row>
    <row r="548" spans="1:19">
      <c r="A548" s="92">
        <v>43172</v>
      </c>
      <c r="C548" s="1" t="s">
        <v>66</v>
      </c>
      <c r="E548" s="98" t="s">
        <v>878</v>
      </c>
      <c r="F548" s="1" t="s">
        <v>879</v>
      </c>
      <c r="G548" s="1" t="s">
        <v>2368</v>
      </c>
      <c r="H548" s="1">
        <v>2</v>
      </c>
      <c r="I548" s="1" t="s">
        <v>858</v>
      </c>
      <c r="J548" s="1">
        <v>2</v>
      </c>
      <c r="K548" s="1" t="s">
        <v>291</v>
      </c>
      <c r="L548" s="1" t="s">
        <v>85</v>
      </c>
      <c r="M548" s="1" t="s">
        <v>71</v>
      </c>
      <c r="N548" s="1" t="s">
        <v>72</v>
      </c>
      <c r="O548" s="1" t="s">
        <v>64</v>
      </c>
      <c r="P548" s="1" t="s">
        <v>73</v>
      </c>
      <c r="R548" s="93">
        <v>43172</v>
      </c>
      <c r="S548" s="93" t="s">
        <v>2726</v>
      </c>
    </row>
    <row r="549" spans="1:19">
      <c r="A549" s="92">
        <v>43173</v>
      </c>
      <c r="C549" s="1" t="s">
        <v>56</v>
      </c>
      <c r="E549" s="98" t="s">
        <v>686</v>
      </c>
      <c r="F549" s="1" t="s">
        <v>687</v>
      </c>
      <c r="G549" s="1" t="s">
        <v>2293</v>
      </c>
      <c r="H549" s="1">
        <v>0.55326000000000009</v>
      </c>
      <c r="I549" s="1" t="s">
        <v>858</v>
      </c>
      <c r="J549" s="1">
        <v>0.55326000000000009</v>
      </c>
      <c r="K549" s="1" t="s">
        <v>688</v>
      </c>
      <c r="L549" s="1" t="s">
        <v>131</v>
      </c>
      <c r="M549" s="1" t="s">
        <v>132</v>
      </c>
      <c r="N549" s="1" t="s">
        <v>72</v>
      </c>
      <c r="O549" s="1" t="s">
        <v>64</v>
      </c>
      <c r="P549" s="1" t="s">
        <v>133</v>
      </c>
      <c r="R549" s="93">
        <v>43173</v>
      </c>
      <c r="S549" s="93" t="s">
        <v>2726</v>
      </c>
    </row>
    <row r="550" spans="1:19">
      <c r="A550" s="92">
        <v>43173</v>
      </c>
      <c r="C550" s="1" t="s">
        <v>56</v>
      </c>
      <c r="E550" s="98" t="s">
        <v>880</v>
      </c>
      <c r="F550" s="1" t="s">
        <v>881</v>
      </c>
      <c r="G550" s="1" t="s">
        <v>2369</v>
      </c>
      <c r="H550" s="1">
        <v>4.4260820000000001</v>
      </c>
      <c r="I550" s="1" t="s">
        <v>858</v>
      </c>
      <c r="J550" s="1">
        <v>4.4260820000000001</v>
      </c>
      <c r="K550" s="1" t="s">
        <v>215</v>
      </c>
      <c r="L550" s="1" t="s">
        <v>216</v>
      </c>
      <c r="M550" s="1" t="s">
        <v>52</v>
      </c>
      <c r="N550" s="1" t="s">
        <v>63</v>
      </c>
      <c r="O550" s="1" t="s">
        <v>64</v>
      </c>
      <c r="P550" s="1" t="s">
        <v>111</v>
      </c>
      <c r="R550" s="93">
        <v>43173</v>
      </c>
      <c r="S550" s="93" t="s">
        <v>2726</v>
      </c>
    </row>
    <row r="551" spans="1:19">
      <c r="A551" s="92">
        <v>43173</v>
      </c>
      <c r="C551" s="1" t="s">
        <v>56</v>
      </c>
      <c r="E551" s="98" t="s">
        <v>882</v>
      </c>
      <c r="F551" s="1" t="s">
        <v>883</v>
      </c>
      <c r="G551" s="1" t="s">
        <v>2370</v>
      </c>
      <c r="H551" s="1">
        <v>5.5326029999999999</v>
      </c>
      <c r="I551" s="1" t="s">
        <v>858</v>
      </c>
      <c r="J551" s="1">
        <v>5.5326029999999999</v>
      </c>
      <c r="K551" s="1" t="s">
        <v>563</v>
      </c>
      <c r="L551" s="1" t="s">
        <v>281</v>
      </c>
      <c r="M551" s="1" t="s">
        <v>71</v>
      </c>
      <c r="N551" s="1" t="s">
        <v>72</v>
      </c>
      <c r="O551" s="1" t="s">
        <v>64</v>
      </c>
      <c r="P551" s="1" t="s">
        <v>73</v>
      </c>
      <c r="R551" s="93">
        <v>43173</v>
      </c>
      <c r="S551" s="93" t="s">
        <v>2726</v>
      </c>
    </row>
    <row r="552" spans="1:19">
      <c r="A552" s="92">
        <v>43173</v>
      </c>
      <c r="C552" s="1" t="s">
        <v>56</v>
      </c>
      <c r="E552" s="98" t="s">
        <v>884</v>
      </c>
      <c r="F552" s="1" t="s">
        <v>885</v>
      </c>
      <c r="G552" s="1" t="s">
        <v>2371</v>
      </c>
      <c r="H552" s="1">
        <v>10</v>
      </c>
      <c r="I552" s="1" t="s">
        <v>858</v>
      </c>
      <c r="J552" s="1">
        <v>10</v>
      </c>
      <c r="K552" s="1" t="s">
        <v>70</v>
      </c>
      <c r="L552" s="1" t="s">
        <v>70</v>
      </c>
      <c r="M552" s="1" t="s">
        <v>71</v>
      </c>
      <c r="N552" s="1" t="s">
        <v>72</v>
      </c>
      <c r="O552" s="1" t="s">
        <v>64</v>
      </c>
      <c r="P552" s="1" t="s">
        <v>73</v>
      </c>
      <c r="R552" s="93">
        <v>43173</v>
      </c>
      <c r="S552" s="93" t="s">
        <v>2726</v>
      </c>
    </row>
    <row r="553" spans="1:19">
      <c r="A553" s="92">
        <v>43173</v>
      </c>
      <c r="C553" s="1" t="s">
        <v>66</v>
      </c>
      <c r="E553" s="98" t="s">
        <v>232</v>
      </c>
      <c r="F553" s="1" t="s">
        <v>233</v>
      </c>
      <c r="G553" s="1" t="s">
        <v>2123</v>
      </c>
      <c r="H553" s="1">
        <v>2</v>
      </c>
      <c r="I553" s="1" t="s">
        <v>858</v>
      </c>
      <c r="J553" s="1">
        <v>2</v>
      </c>
      <c r="K553" s="1" t="s">
        <v>234</v>
      </c>
      <c r="L553" s="1" t="s">
        <v>131</v>
      </c>
      <c r="M553" s="1" t="s">
        <v>132</v>
      </c>
      <c r="N553" s="1" t="s">
        <v>72</v>
      </c>
      <c r="O553" s="1" t="s">
        <v>64</v>
      </c>
      <c r="P553" s="1" t="s">
        <v>133</v>
      </c>
      <c r="R553" s="93">
        <v>43173</v>
      </c>
      <c r="S553" s="93" t="s">
        <v>2726</v>
      </c>
    </row>
    <row r="554" spans="1:19">
      <c r="A554" s="92">
        <v>43172</v>
      </c>
      <c r="C554" s="1" t="s">
        <v>66</v>
      </c>
      <c r="E554" s="98" t="s">
        <v>886</v>
      </c>
      <c r="F554" s="1" t="s">
        <v>887</v>
      </c>
      <c r="G554" s="1" t="s">
        <v>2372</v>
      </c>
      <c r="H554" s="1">
        <v>5</v>
      </c>
      <c r="I554" s="1" t="s">
        <v>888</v>
      </c>
      <c r="J554" s="1">
        <v>3</v>
      </c>
      <c r="K554" s="1" t="s">
        <v>312</v>
      </c>
      <c r="L554" s="1" t="s">
        <v>117</v>
      </c>
      <c r="M554" s="1" t="s">
        <v>2661</v>
      </c>
      <c r="N554" s="1" t="s">
        <v>72</v>
      </c>
      <c r="O554" s="1" t="s">
        <v>64</v>
      </c>
      <c r="P554" s="1" t="s">
        <v>53</v>
      </c>
      <c r="R554" s="93">
        <v>43172</v>
      </c>
      <c r="S554" s="93" t="s">
        <v>2727</v>
      </c>
    </row>
    <row r="555" spans="1:19">
      <c r="A555" s="92">
        <v>43172</v>
      </c>
      <c r="C555" s="1" t="s">
        <v>56</v>
      </c>
      <c r="E555" s="98" t="s">
        <v>889</v>
      </c>
      <c r="F555" s="1" t="s">
        <v>890</v>
      </c>
      <c r="G555" s="1" t="s">
        <v>2373</v>
      </c>
      <c r="H555" s="1">
        <v>5</v>
      </c>
      <c r="I555" s="1" t="s">
        <v>891</v>
      </c>
      <c r="J555" s="1">
        <v>1.5</v>
      </c>
      <c r="K555" s="1" t="s">
        <v>167</v>
      </c>
      <c r="L555" s="1" t="s">
        <v>117</v>
      </c>
      <c r="M555" s="1" t="s">
        <v>2661</v>
      </c>
      <c r="N555" s="1" t="s">
        <v>72</v>
      </c>
      <c r="O555" s="1" t="s">
        <v>64</v>
      </c>
      <c r="P555" s="1" t="s">
        <v>53</v>
      </c>
      <c r="R555" s="93">
        <v>43172</v>
      </c>
      <c r="S555" s="93" t="s">
        <v>2728</v>
      </c>
    </row>
    <row r="556" spans="1:19">
      <c r="A556" s="92">
        <v>43172</v>
      </c>
      <c r="C556" s="1" t="s">
        <v>56</v>
      </c>
      <c r="E556" s="98" t="s">
        <v>892</v>
      </c>
      <c r="F556" s="1" t="s">
        <v>893</v>
      </c>
      <c r="G556" s="1" t="s">
        <v>2374</v>
      </c>
      <c r="H556" s="1">
        <v>11</v>
      </c>
      <c r="I556" s="1" t="s">
        <v>891</v>
      </c>
      <c r="J556" s="1">
        <v>3.3</v>
      </c>
      <c r="K556" s="1" t="s">
        <v>164</v>
      </c>
      <c r="L556" s="1" t="s">
        <v>93</v>
      </c>
      <c r="M556" s="1" t="s">
        <v>94</v>
      </c>
      <c r="N556" s="1" t="s">
        <v>72</v>
      </c>
      <c r="O556" s="1" t="s">
        <v>64</v>
      </c>
      <c r="P556" s="1" t="s">
        <v>95</v>
      </c>
      <c r="R556" s="93">
        <v>43172</v>
      </c>
      <c r="S556" s="93" t="s">
        <v>2728</v>
      </c>
    </row>
    <row r="557" spans="1:19">
      <c r="A557" s="92">
        <v>43172</v>
      </c>
      <c r="C557" s="1" t="s">
        <v>66</v>
      </c>
      <c r="E557" s="98" t="s">
        <v>894</v>
      </c>
      <c r="F557" s="1" t="s">
        <v>895</v>
      </c>
      <c r="G557" s="1" t="s">
        <v>2375</v>
      </c>
      <c r="H557" s="1">
        <v>5</v>
      </c>
      <c r="I557" s="1" t="s">
        <v>891</v>
      </c>
      <c r="J557" s="1">
        <v>1.5</v>
      </c>
      <c r="K557" s="1" t="s">
        <v>84</v>
      </c>
      <c r="L557" s="1" t="s">
        <v>85</v>
      </c>
      <c r="M557" s="1" t="s">
        <v>71</v>
      </c>
      <c r="N557" s="1" t="s">
        <v>72</v>
      </c>
      <c r="O557" s="1" t="s">
        <v>64</v>
      </c>
      <c r="P557" s="1" t="s">
        <v>73</v>
      </c>
      <c r="R557" s="93">
        <v>43172</v>
      </c>
      <c r="S557" s="93" t="s">
        <v>2728</v>
      </c>
    </row>
    <row r="558" spans="1:19">
      <c r="A558" s="92">
        <v>43172</v>
      </c>
      <c r="C558" s="1" t="s">
        <v>66</v>
      </c>
      <c r="E558" s="98" t="s">
        <v>896</v>
      </c>
      <c r="F558" s="1" t="s">
        <v>897</v>
      </c>
      <c r="G558" s="1" t="s">
        <v>2376</v>
      </c>
      <c r="H558" s="1">
        <v>0.5</v>
      </c>
      <c r="I558" s="1" t="s">
        <v>891</v>
      </c>
      <c r="J558" s="1">
        <v>0.15</v>
      </c>
      <c r="K558" s="1" t="s">
        <v>69</v>
      </c>
      <c r="L558" s="1" t="s">
        <v>70</v>
      </c>
      <c r="M558" s="1" t="s">
        <v>71</v>
      </c>
      <c r="N558" s="1" t="s">
        <v>72</v>
      </c>
      <c r="O558" s="1" t="s">
        <v>64</v>
      </c>
      <c r="P558" s="1" t="s">
        <v>73</v>
      </c>
      <c r="R558" s="93">
        <v>43172</v>
      </c>
      <c r="S558" s="93" t="s">
        <v>2728</v>
      </c>
    </row>
    <row r="559" spans="1:19">
      <c r="A559" s="92">
        <v>43172</v>
      </c>
      <c r="C559" s="1" t="s">
        <v>56</v>
      </c>
      <c r="E559" s="98" t="s">
        <v>782</v>
      </c>
      <c r="F559" s="1" t="s">
        <v>783</v>
      </c>
      <c r="G559" s="1" t="s">
        <v>2331</v>
      </c>
      <c r="H559" s="1">
        <v>1</v>
      </c>
      <c r="I559" s="1" t="s">
        <v>891</v>
      </c>
      <c r="J559" s="1">
        <v>0.3</v>
      </c>
      <c r="K559" s="1" t="s">
        <v>70</v>
      </c>
      <c r="L559" s="1" t="s">
        <v>70</v>
      </c>
      <c r="M559" s="1" t="s">
        <v>71</v>
      </c>
      <c r="N559" s="1" t="s">
        <v>72</v>
      </c>
      <c r="O559" s="1" t="s">
        <v>64</v>
      </c>
      <c r="P559" s="1" t="s">
        <v>73</v>
      </c>
      <c r="R559" s="93">
        <v>43172</v>
      </c>
      <c r="S559" s="93" t="s">
        <v>2728</v>
      </c>
    </row>
    <row r="560" spans="1:19">
      <c r="A560" s="92">
        <v>43172</v>
      </c>
      <c r="C560" s="1" t="s">
        <v>56</v>
      </c>
      <c r="E560" s="98" t="s">
        <v>898</v>
      </c>
      <c r="F560" s="1" t="s">
        <v>899</v>
      </c>
      <c r="G560" s="1" t="s">
        <v>2029</v>
      </c>
      <c r="H560" s="1">
        <v>5</v>
      </c>
      <c r="I560" s="1" t="s">
        <v>891</v>
      </c>
      <c r="J560" s="1">
        <v>1.5</v>
      </c>
      <c r="K560" s="1" t="s">
        <v>124</v>
      </c>
      <c r="L560" s="1" t="s">
        <v>117</v>
      </c>
      <c r="M560" s="1" t="s">
        <v>2661</v>
      </c>
      <c r="N560" s="1" t="s">
        <v>72</v>
      </c>
      <c r="O560" s="1" t="s">
        <v>64</v>
      </c>
      <c r="P560" s="1" t="s">
        <v>53</v>
      </c>
      <c r="R560" s="93">
        <v>43172</v>
      </c>
      <c r="S560" s="93" t="s">
        <v>2728</v>
      </c>
    </row>
    <row r="561" spans="1:19">
      <c r="A561" s="92">
        <v>43172</v>
      </c>
      <c r="C561" s="1" t="s">
        <v>56</v>
      </c>
      <c r="E561" s="98" t="s">
        <v>900</v>
      </c>
      <c r="F561" s="1" t="s">
        <v>901</v>
      </c>
      <c r="G561" s="1" t="s">
        <v>2377</v>
      </c>
      <c r="H561" s="1">
        <v>10.18</v>
      </c>
      <c r="I561" s="1" t="s">
        <v>891</v>
      </c>
      <c r="J561" s="1">
        <v>3.0539999999999998</v>
      </c>
      <c r="K561" s="1" t="s">
        <v>902</v>
      </c>
      <c r="L561" s="1" t="s">
        <v>93</v>
      </c>
      <c r="M561" s="1" t="s">
        <v>94</v>
      </c>
      <c r="N561" s="1" t="s">
        <v>72</v>
      </c>
      <c r="O561" s="1" t="s">
        <v>64</v>
      </c>
      <c r="P561" s="1" t="s">
        <v>95</v>
      </c>
      <c r="R561" s="93">
        <v>43172</v>
      </c>
      <c r="S561" s="93" t="s">
        <v>2728</v>
      </c>
    </row>
    <row r="562" spans="1:19">
      <c r="A562" s="92">
        <v>43172</v>
      </c>
      <c r="C562" s="1" t="s">
        <v>56</v>
      </c>
      <c r="E562" s="98" t="s">
        <v>220</v>
      </c>
      <c r="F562" s="1" t="s">
        <v>221</v>
      </c>
      <c r="G562" s="1" t="s">
        <v>2119</v>
      </c>
      <c r="H562" s="1">
        <v>3</v>
      </c>
      <c r="I562" s="1" t="s">
        <v>891</v>
      </c>
      <c r="J562" s="1">
        <v>0.9</v>
      </c>
      <c r="K562" s="1" t="s">
        <v>93</v>
      </c>
      <c r="L562" s="1" t="s">
        <v>93</v>
      </c>
      <c r="M562" s="1" t="s">
        <v>94</v>
      </c>
      <c r="N562" s="1" t="s">
        <v>72</v>
      </c>
      <c r="O562" s="1" t="s">
        <v>64</v>
      </c>
      <c r="P562" s="1" t="s">
        <v>95</v>
      </c>
      <c r="R562" s="93">
        <v>43172</v>
      </c>
      <c r="S562" s="93" t="s">
        <v>2728</v>
      </c>
    </row>
    <row r="563" spans="1:19">
      <c r="A563" s="92">
        <v>43172</v>
      </c>
      <c r="C563" s="1" t="s">
        <v>56</v>
      </c>
      <c r="E563" s="98" t="s">
        <v>903</v>
      </c>
      <c r="F563" s="1" t="s">
        <v>904</v>
      </c>
      <c r="G563" s="1" t="s">
        <v>2378</v>
      </c>
      <c r="H563" s="1">
        <v>3.05</v>
      </c>
      <c r="I563" s="1" t="s">
        <v>891</v>
      </c>
      <c r="J563" s="1">
        <v>0.91500000000000004</v>
      </c>
      <c r="K563" s="1" t="s">
        <v>416</v>
      </c>
      <c r="L563" s="1" t="s">
        <v>193</v>
      </c>
      <c r="M563" s="1" t="s">
        <v>62</v>
      </c>
      <c r="N563" s="1" t="s">
        <v>63</v>
      </c>
      <c r="O563" s="1" t="s">
        <v>64</v>
      </c>
      <c r="P563" s="1" t="s">
        <v>65</v>
      </c>
      <c r="R563" s="93">
        <v>43172</v>
      </c>
      <c r="S563" s="93" t="s">
        <v>2728</v>
      </c>
    </row>
    <row r="564" spans="1:19">
      <c r="A564" s="92">
        <v>43173</v>
      </c>
      <c r="C564" s="1" t="s">
        <v>56</v>
      </c>
      <c r="E564" s="98" t="s">
        <v>905</v>
      </c>
      <c r="F564" s="1" t="s">
        <v>906</v>
      </c>
      <c r="G564" s="1" t="s">
        <v>2379</v>
      </c>
      <c r="H564" s="1">
        <v>2</v>
      </c>
      <c r="I564" s="1" t="s">
        <v>907</v>
      </c>
      <c r="J564" s="1">
        <v>0.6</v>
      </c>
      <c r="K564" s="1" t="s">
        <v>234</v>
      </c>
      <c r="L564" s="1" t="s">
        <v>131</v>
      </c>
      <c r="M564" s="1" t="s">
        <v>132</v>
      </c>
      <c r="N564" s="1" t="s">
        <v>72</v>
      </c>
      <c r="O564" s="1" t="s">
        <v>64</v>
      </c>
      <c r="P564" s="1" t="s">
        <v>133</v>
      </c>
      <c r="R564" s="93">
        <v>43173</v>
      </c>
      <c r="S564" s="93" t="s">
        <v>2729</v>
      </c>
    </row>
    <row r="565" spans="1:19">
      <c r="A565" s="92">
        <v>43173</v>
      </c>
      <c r="C565" s="1" t="s">
        <v>66</v>
      </c>
      <c r="E565" s="98" t="s">
        <v>307</v>
      </c>
      <c r="F565" s="1" t="s">
        <v>308</v>
      </c>
      <c r="G565" s="1" t="s">
        <v>2150</v>
      </c>
      <c r="H565" s="1">
        <v>10</v>
      </c>
      <c r="I565" s="1" t="s">
        <v>907</v>
      </c>
      <c r="J565" s="1">
        <v>3</v>
      </c>
      <c r="K565" s="1" t="s">
        <v>309</v>
      </c>
      <c r="L565" s="1" t="s">
        <v>150</v>
      </c>
      <c r="M565" s="1" t="s">
        <v>132</v>
      </c>
      <c r="N565" s="1" t="s">
        <v>72</v>
      </c>
      <c r="O565" s="1" t="s">
        <v>64</v>
      </c>
      <c r="P565" s="1" t="s">
        <v>133</v>
      </c>
      <c r="R565" s="93">
        <v>43173</v>
      </c>
      <c r="S565" s="93" t="s">
        <v>2729</v>
      </c>
    </row>
    <row r="566" spans="1:19">
      <c r="A566" s="92">
        <v>43173</v>
      </c>
      <c r="C566" s="1" t="s">
        <v>66</v>
      </c>
      <c r="E566" s="98" t="s">
        <v>628</v>
      </c>
      <c r="F566" s="1" t="s">
        <v>629</v>
      </c>
      <c r="G566" s="1" t="s">
        <v>2270</v>
      </c>
      <c r="H566" s="1">
        <v>2</v>
      </c>
      <c r="I566" s="1" t="s">
        <v>907</v>
      </c>
      <c r="J566" s="1">
        <v>0.6</v>
      </c>
      <c r="K566" s="1" t="s">
        <v>136</v>
      </c>
      <c r="L566" s="1" t="s">
        <v>85</v>
      </c>
      <c r="M566" s="1" t="s">
        <v>71</v>
      </c>
      <c r="N566" s="1" t="s">
        <v>72</v>
      </c>
      <c r="O566" s="1" t="s">
        <v>64</v>
      </c>
      <c r="P566" s="1" t="s">
        <v>73</v>
      </c>
      <c r="R566" s="93">
        <v>43173</v>
      </c>
      <c r="S566" s="93" t="s">
        <v>2729</v>
      </c>
    </row>
    <row r="567" spans="1:19">
      <c r="A567" s="92">
        <v>43173</v>
      </c>
      <c r="C567" s="1" t="s">
        <v>56</v>
      </c>
      <c r="E567" s="98" t="s">
        <v>908</v>
      </c>
      <c r="F567" s="1" t="s">
        <v>909</v>
      </c>
      <c r="G567" s="1" t="s">
        <v>2380</v>
      </c>
      <c r="H567" s="1">
        <v>5</v>
      </c>
      <c r="I567" s="1" t="s">
        <v>907</v>
      </c>
      <c r="J567" s="1">
        <v>1.5</v>
      </c>
      <c r="K567" s="1" t="s">
        <v>309</v>
      </c>
      <c r="L567" s="1" t="s">
        <v>150</v>
      </c>
      <c r="M567" s="1" t="s">
        <v>132</v>
      </c>
      <c r="N567" s="1" t="s">
        <v>72</v>
      </c>
      <c r="O567" s="1" t="s">
        <v>64</v>
      </c>
      <c r="P567" s="1" t="s">
        <v>133</v>
      </c>
      <c r="R567" s="93">
        <v>43173</v>
      </c>
      <c r="S567" s="93" t="s">
        <v>2729</v>
      </c>
    </row>
    <row r="568" spans="1:19">
      <c r="A568" s="92">
        <v>43173</v>
      </c>
      <c r="C568" s="1" t="s">
        <v>56</v>
      </c>
      <c r="E568" s="98" t="s">
        <v>908</v>
      </c>
      <c r="F568" s="1" t="s">
        <v>909</v>
      </c>
      <c r="G568" s="1" t="s">
        <v>2380</v>
      </c>
      <c r="H568" s="1">
        <v>5</v>
      </c>
      <c r="I568" s="1" t="s">
        <v>907</v>
      </c>
      <c r="J568" s="1">
        <v>1.5</v>
      </c>
      <c r="K568" s="1" t="s">
        <v>309</v>
      </c>
      <c r="L568" s="1" t="s">
        <v>150</v>
      </c>
      <c r="M568" s="1" t="s">
        <v>132</v>
      </c>
      <c r="N568" s="1" t="s">
        <v>72</v>
      </c>
      <c r="O568" s="1" t="s">
        <v>64</v>
      </c>
      <c r="P568" s="1" t="s">
        <v>133</v>
      </c>
      <c r="R568" s="93">
        <v>43173</v>
      </c>
      <c r="S568" s="93" t="s">
        <v>2729</v>
      </c>
    </row>
    <row r="569" spans="1:19">
      <c r="A569" s="92">
        <v>43173</v>
      </c>
      <c r="C569" s="1" t="s">
        <v>56</v>
      </c>
      <c r="E569" s="98" t="s">
        <v>910</v>
      </c>
      <c r="F569" s="1" t="s">
        <v>911</v>
      </c>
      <c r="G569" s="1" t="s">
        <v>2381</v>
      </c>
      <c r="H569" s="1">
        <v>1</v>
      </c>
      <c r="I569" s="1" t="s">
        <v>907</v>
      </c>
      <c r="J569" s="1">
        <v>0.3</v>
      </c>
      <c r="K569" s="1" t="s">
        <v>403</v>
      </c>
      <c r="L569" s="1" t="s">
        <v>216</v>
      </c>
      <c r="M569" s="1" t="s">
        <v>52</v>
      </c>
      <c r="N569" s="1" t="s">
        <v>63</v>
      </c>
      <c r="O569" s="1" t="s">
        <v>64</v>
      </c>
      <c r="P569" s="1" t="s">
        <v>111</v>
      </c>
      <c r="R569" s="93">
        <v>43173</v>
      </c>
      <c r="S569" s="93" t="s">
        <v>2729</v>
      </c>
    </row>
    <row r="570" spans="1:19">
      <c r="A570" s="92">
        <v>43173</v>
      </c>
      <c r="C570" s="1" t="s">
        <v>66</v>
      </c>
      <c r="E570" s="98" t="s">
        <v>912</v>
      </c>
      <c r="F570" s="1" t="s">
        <v>309</v>
      </c>
      <c r="G570" s="1" t="s">
        <v>2382</v>
      </c>
      <c r="H570" s="1">
        <v>2</v>
      </c>
      <c r="I570" s="1" t="s">
        <v>907</v>
      </c>
      <c r="J570" s="1">
        <v>0.6</v>
      </c>
      <c r="K570" s="1" t="s">
        <v>89</v>
      </c>
      <c r="L570" s="1" t="s">
        <v>70</v>
      </c>
      <c r="M570" s="1" t="s">
        <v>71</v>
      </c>
      <c r="N570" s="1" t="s">
        <v>72</v>
      </c>
      <c r="O570" s="1" t="s">
        <v>64</v>
      </c>
      <c r="P570" s="1" t="s">
        <v>73</v>
      </c>
      <c r="R570" s="93">
        <v>43173</v>
      </c>
      <c r="S570" s="93" t="s">
        <v>2729</v>
      </c>
    </row>
    <row r="571" spans="1:19">
      <c r="A571" s="92">
        <v>43173</v>
      </c>
      <c r="C571" s="1" t="s">
        <v>56</v>
      </c>
      <c r="E571" s="98" t="s">
        <v>210</v>
      </c>
      <c r="F571" s="1" t="s">
        <v>211</v>
      </c>
      <c r="G571" s="1" t="s">
        <v>2116</v>
      </c>
      <c r="H571" s="1">
        <v>2.1</v>
      </c>
      <c r="I571" s="1" t="s">
        <v>907</v>
      </c>
      <c r="J571" s="1">
        <v>0.63</v>
      </c>
      <c r="K571" s="1" t="s">
        <v>212</v>
      </c>
      <c r="L571" s="1" t="s">
        <v>150</v>
      </c>
      <c r="M571" s="1" t="s">
        <v>132</v>
      </c>
      <c r="N571" s="1" t="s">
        <v>72</v>
      </c>
      <c r="O571" s="1" t="s">
        <v>64</v>
      </c>
      <c r="P571" s="1" t="s">
        <v>133</v>
      </c>
      <c r="R571" s="93">
        <v>43173</v>
      </c>
      <c r="S571" s="93" t="s">
        <v>2729</v>
      </c>
    </row>
    <row r="572" spans="1:19">
      <c r="A572" s="92">
        <v>43173</v>
      </c>
      <c r="C572" s="1" t="s">
        <v>66</v>
      </c>
      <c r="E572" s="98" t="s">
        <v>915</v>
      </c>
      <c r="F572" s="1" t="s">
        <v>916</v>
      </c>
      <c r="G572" s="1" t="s">
        <v>2383</v>
      </c>
      <c r="H572" s="1">
        <v>0.01</v>
      </c>
      <c r="I572" s="1" t="s">
        <v>907</v>
      </c>
      <c r="J572" s="1">
        <v>3.0000000000000001E-3</v>
      </c>
      <c r="K572" s="1" t="s">
        <v>577</v>
      </c>
      <c r="L572" s="1" t="s">
        <v>131</v>
      </c>
      <c r="M572" s="1" t="s">
        <v>132</v>
      </c>
      <c r="N572" s="1" t="s">
        <v>72</v>
      </c>
      <c r="O572" s="1" t="s">
        <v>64</v>
      </c>
      <c r="P572" s="1" t="s">
        <v>133</v>
      </c>
      <c r="R572" s="93">
        <v>43173</v>
      </c>
      <c r="S572" s="93" t="s">
        <v>2729</v>
      </c>
    </row>
    <row r="573" spans="1:19">
      <c r="A573" s="92">
        <v>43173</v>
      </c>
      <c r="C573" s="1" t="s">
        <v>66</v>
      </c>
      <c r="E573" s="98" t="s">
        <v>917</v>
      </c>
      <c r="F573" s="1" t="s">
        <v>918</v>
      </c>
      <c r="G573" s="1" t="s">
        <v>2384</v>
      </c>
      <c r="H573" s="1">
        <v>0.1</v>
      </c>
      <c r="I573" s="1" t="s">
        <v>907</v>
      </c>
      <c r="J573" s="1">
        <v>0.03</v>
      </c>
      <c r="K573" s="1" t="s">
        <v>434</v>
      </c>
      <c r="L573" s="1" t="s">
        <v>269</v>
      </c>
      <c r="M573" s="1" t="s">
        <v>132</v>
      </c>
      <c r="N573" s="1" t="s">
        <v>72</v>
      </c>
      <c r="O573" s="1" t="s">
        <v>64</v>
      </c>
      <c r="P573" s="1" t="s">
        <v>133</v>
      </c>
      <c r="R573" s="93">
        <v>43173</v>
      </c>
      <c r="S573" s="93" t="s">
        <v>2729</v>
      </c>
    </row>
    <row r="574" spans="1:19">
      <c r="A574" s="92">
        <v>43173</v>
      </c>
      <c r="C574" s="1" t="s">
        <v>66</v>
      </c>
      <c r="E574" s="98" t="s">
        <v>917</v>
      </c>
      <c r="F574" s="1" t="s">
        <v>918</v>
      </c>
      <c r="G574" s="1" t="s">
        <v>2384</v>
      </c>
      <c r="H574" s="1">
        <v>0.4</v>
      </c>
      <c r="I574" s="1" t="s">
        <v>907</v>
      </c>
      <c r="J574" s="1">
        <v>0.12</v>
      </c>
      <c r="K574" s="1" t="s">
        <v>434</v>
      </c>
      <c r="L574" s="1" t="s">
        <v>269</v>
      </c>
      <c r="M574" s="1" t="s">
        <v>132</v>
      </c>
      <c r="N574" s="1" t="s">
        <v>72</v>
      </c>
      <c r="O574" s="1" t="s">
        <v>64</v>
      </c>
      <c r="P574" s="1" t="s">
        <v>133</v>
      </c>
      <c r="R574" s="93">
        <v>43173</v>
      </c>
      <c r="S574" s="93" t="s">
        <v>2729</v>
      </c>
    </row>
    <row r="575" spans="1:19">
      <c r="A575" s="92">
        <v>43174</v>
      </c>
      <c r="C575" s="1" t="s">
        <v>56</v>
      </c>
      <c r="E575" s="98" t="s">
        <v>190</v>
      </c>
      <c r="F575" s="1" t="s">
        <v>191</v>
      </c>
      <c r="G575" s="1" t="s">
        <v>2112</v>
      </c>
      <c r="H575" s="1">
        <v>5</v>
      </c>
      <c r="I575" s="1" t="s">
        <v>907</v>
      </c>
      <c r="J575" s="1">
        <v>1.5</v>
      </c>
      <c r="K575" s="1" t="s">
        <v>192</v>
      </c>
      <c r="L575" s="1" t="s">
        <v>193</v>
      </c>
      <c r="M575" s="1" t="s">
        <v>62</v>
      </c>
      <c r="N575" s="1" t="s">
        <v>63</v>
      </c>
      <c r="O575" s="1" t="s">
        <v>64</v>
      </c>
      <c r="P575" s="1" t="s">
        <v>65</v>
      </c>
      <c r="R575" s="93">
        <v>43174</v>
      </c>
      <c r="S575" s="93" t="s">
        <v>2729</v>
      </c>
    </row>
    <row r="576" spans="1:19">
      <c r="A576" s="92">
        <v>43174</v>
      </c>
      <c r="C576" s="1" t="s">
        <v>66</v>
      </c>
      <c r="E576" s="98" t="s">
        <v>919</v>
      </c>
      <c r="F576" s="1" t="s">
        <v>920</v>
      </c>
      <c r="G576" s="1" t="s">
        <v>2385</v>
      </c>
      <c r="H576" s="1">
        <v>0.14000000000000001</v>
      </c>
      <c r="I576" s="1" t="s">
        <v>907</v>
      </c>
      <c r="J576" s="1">
        <v>4.2000000000000003E-2</v>
      </c>
      <c r="K576" s="1" t="s">
        <v>69</v>
      </c>
      <c r="L576" s="1" t="s">
        <v>70</v>
      </c>
      <c r="M576" s="1" t="s">
        <v>71</v>
      </c>
      <c r="N576" s="1" t="s">
        <v>72</v>
      </c>
      <c r="O576" s="1" t="s">
        <v>64</v>
      </c>
      <c r="P576" s="1" t="s">
        <v>73</v>
      </c>
      <c r="R576" s="93">
        <v>43174</v>
      </c>
      <c r="S576" s="93" t="s">
        <v>2729</v>
      </c>
    </row>
    <row r="577" spans="1:19">
      <c r="A577" s="92">
        <v>43173</v>
      </c>
      <c r="C577" s="1" t="s">
        <v>56</v>
      </c>
      <c r="E577" s="98" t="s">
        <v>921</v>
      </c>
      <c r="F577" s="1" t="s">
        <v>922</v>
      </c>
      <c r="G577" s="1" t="s">
        <v>2386</v>
      </c>
      <c r="H577" s="1">
        <v>10</v>
      </c>
      <c r="I577" s="1" t="s">
        <v>923</v>
      </c>
      <c r="J577" s="1">
        <v>6</v>
      </c>
      <c r="K577" s="1" t="s">
        <v>353</v>
      </c>
      <c r="L577" s="1" t="s">
        <v>281</v>
      </c>
      <c r="M577" s="1" t="s">
        <v>71</v>
      </c>
      <c r="N577" s="1" t="s">
        <v>72</v>
      </c>
      <c r="O577" s="1" t="s">
        <v>64</v>
      </c>
      <c r="P577" s="1" t="s">
        <v>73</v>
      </c>
      <c r="R577" s="93">
        <v>43173</v>
      </c>
      <c r="S577" s="93" t="s">
        <v>2689</v>
      </c>
    </row>
    <row r="578" spans="1:19">
      <c r="A578" s="92">
        <v>43173</v>
      </c>
      <c r="C578" s="1" t="s">
        <v>56</v>
      </c>
      <c r="E578" s="98" t="s">
        <v>924</v>
      </c>
      <c r="F578" s="1" t="s">
        <v>925</v>
      </c>
      <c r="G578" s="1" t="s">
        <v>2387</v>
      </c>
      <c r="H578" s="1">
        <v>1</v>
      </c>
      <c r="I578" s="1" t="s">
        <v>923</v>
      </c>
      <c r="J578" s="1">
        <v>0.6</v>
      </c>
      <c r="K578" s="1" t="s">
        <v>85</v>
      </c>
      <c r="L578" s="1" t="s">
        <v>85</v>
      </c>
      <c r="M578" s="1" t="s">
        <v>71</v>
      </c>
      <c r="N578" s="1" t="s">
        <v>72</v>
      </c>
      <c r="O578" s="1" t="s">
        <v>64</v>
      </c>
      <c r="P578" s="1" t="s">
        <v>73</v>
      </c>
      <c r="R578" s="93">
        <v>43173</v>
      </c>
      <c r="S578" s="93" t="s">
        <v>2689</v>
      </c>
    </row>
    <row r="579" spans="1:19">
      <c r="A579" s="92">
        <v>43173</v>
      </c>
      <c r="C579" s="1" t="s">
        <v>66</v>
      </c>
      <c r="E579" s="98" t="s">
        <v>917</v>
      </c>
      <c r="F579" s="1" t="s">
        <v>918</v>
      </c>
      <c r="G579" s="1" t="s">
        <v>2384</v>
      </c>
      <c r="H579" s="1">
        <v>0.5</v>
      </c>
      <c r="I579" s="1" t="s">
        <v>923</v>
      </c>
      <c r="J579" s="1">
        <v>0.3</v>
      </c>
      <c r="K579" s="1" t="s">
        <v>434</v>
      </c>
      <c r="L579" s="1" t="s">
        <v>269</v>
      </c>
      <c r="M579" s="1" t="s">
        <v>132</v>
      </c>
      <c r="N579" s="1" t="s">
        <v>72</v>
      </c>
      <c r="O579" s="1" t="s">
        <v>64</v>
      </c>
      <c r="P579" s="1" t="s">
        <v>133</v>
      </c>
      <c r="R579" s="93">
        <v>43173</v>
      </c>
      <c r="S579" s="93" t="s">
        <v>2689</v>
      </c>
    </row>
    <row r="580" spans="1:19">
      <c r="A580" s="92">
        <v>43173</v>
      </c>
      <c r="C580" s="1" t="s">
        <v>66</v>
      </c>
      <c r="E580" s="98" t="s">
        <v>926</v>
      </c>
      <c r="F580" s="1" t="s">
        <v>927</v>
      </c>
      <c r="G580" s="1" t="s">
        <v>2388</v>
      </c>
      <c r="H580" s="1">
        <v>0.5</v>
      </c>
      <c r="I580" s="1" t="s">
        <v>928</v>
      </c>
      <c r="J580" s="1">
        <v>0.5</v>
      </c>
      <c r="K580" s="1" t="s">
        <v>461</v>
      </c>
      <c r="L580" s="1" t="s">
        <v>85</v>
      </c>
      <c r="M580" s="1" t="s">
        <v>71</v>
      </c>
      <c r="N580" s="1" t="s">
        <v>72</v>
      </c>
      <c r="O580" s="1" t="s">
        <v>64</v>
      </c>
      <c r="P580" s="1" t="s">
        <v>73</v>
      </c>
      <c r="R580" s="93">
        <v>43173</v>
      </c>
      <c r="S580" s="93" t="s">
        <v>2730</v>
      </c>
    </row>
    <row r="581" spans="1:19">
      <c r="A581" s="92">
        <v>43173</v>
      </c>
      <c r="C581" s="1" t="s">
        <v>66</v>
      </c>
      <c r="E581" s="98" t="s">
        <v>624</v>
      </c>
      <c r="F581" s="1" t="s">
        <v>625</v>
      </c>
      <c r="G581" s="1" t="s">
        <v>2268</v>
      </c>
      <c r="H581" s="1">
        <v>2.6</v>
      </c>
      <c r="I581" s="1" t="s">
        <v>928</v>
      </c>
      <c r="J581" s="1">
        <v>2.6</v>
      </c>
      <c r="K581" s="1" t="s">
        <v>403</v>
      </c>
      <c r="L581" s="1" t="s">
        <v>216</v>
      </c>
      <c r="M581" s="1" t="s">
        <v>52</v>
      </c>
      <c r="N581" s="1" t="s">
        <v>63</v>
      </c>
      <c r="O581" s="1" t="s">
        <v>64</v>
      </c>
      <c r="P581" s="1" t="s">
        <v>111</v>
      </c>
      <c r="R581" s="93">
        <v>43173</v>
      </c>
      <c r="S581" s="93" t="s">
        <v>2730</v>
      </c>
    </row>
    <row r="582" spans="1:19">
      <c r="A582" s="92">
        <v>43173</v>
      </c>
      <c r="C582" s="1" t="s">
        <v>56</v>
      </c>
      <c r="E582" s="98" t="s">
        <v>693</v>
      </c>
      <c r="F582" s="1" t="s">
        <v>694</v>
      </c>
      <c r="G582" s="1" t="s">
        <v>2295</v>
      </c>
      <c r="H582" s="1">
        <v>3</v>
      </c>
      <c r="I582" s="1" t="s">
        <v>928</v>
      </c>
      <c r="J582" s="1">
        <v>3</v>
      </c>
      <c r="K582" s="1" t="s">
        <v>656</v>
      </c>
      <c r="L582" s="1" t="s">
        <v>105</v>
      </c>
      <c r="M582" s="1" t="s">
        <v>62</v>
      </c>
      <c r="N582" s="1" t="s">
        <v>63</v>
      </c>
      <c r="O582" s="1" t="s">
        <v>64</v>
      </c>
      <c r="P582" s="1" t="s">
        <v>65</v>
      </c>
      <c r="R582" s="93">
        <v>43173</v>
      </c>
      <c r="S582" s="93" t="s">
        <v>2730</v>
      </c>
    </row>
    <row r="583" spans="1:19">
      <c r="A583" s="92">
        <v>43173</v>
      </c>
      <c r="C583" s="1" t="s">
        <v>56</v>
      </c>
      <c r="E583" s="98" t="s">
        <v>693</v>
      </c>
      <c r="F583" s="1" t="s">
        <v>694</v>
      </c>
      <c r="G583" s="1" t="s">
        <v>2295</v>
      </c>
      <c r="H583" s="1">
        <v>1</v>
      </c>
      <c r="I583" s="1" t="s">
        <v>928</v>
      </c>
      <c r="J583" s="1">
        <v>1</v>
      </c>
      <c r="K583" s="1" t="s">
        <v>656</v>
      </c>
      <c r="L583" s="1" t="s">
        <v>105</v>
      </c>
      <c r="M583" s="1" t="s">
        <v>62</v>
      </c>
      <c r="N583" s="1" t="s">
        <v>63</v>
      </c>
      <c r="O583" s="1" t="s">
        <v>64</v>
      </c>
      <c r="P583" s="1" t="s">
        <v>65</v>
      </c>
      <c r="R583" s="93">
        <v>43173</v>
      </c>
      <c r="S583" s="93" t="s">
        <v>2730</v>
      </c>
    </row>
    <row r="584" spans="1:19">
      <c r="A584" s="92">
        <v>43173</v>
      </c>
      <c r="C584" s="1" t="s">
        <v>56</v>
      </c>
      <c r="E584" s="98" t="s">
        <v>929</v>
      </c>
      <c r="F584" s="1" t="s">
        <v>930</v>
      </c>
      <c r="G584" s="1" t="s">
        <v>2389</v>
      </c>
      <c r="H584" s="1">
        <v>5.65</v>
      </c>
      <c r="I584" s="1" t="s">
        <v>928</v>
      </c>
      <c r="J584" s="1">
        <v>5.65</v>
      </c>
      <c r="K584" s="1" t="s">
        <v>269</v>
      </c>
      <c r="L584" s="1" t="s">
        <v>269</v>
      </c>
      <c r="M584" s="1" t="s">
        <v>132</v>
      </c>
      <c r="N584" s="1" t="s">
        <v>72</v>
      </c>
      <c r="O584" s="1" t="s">
        <v>64</v>
      </c>
      <c r="P584" s="1" t="s">
        <v>133</v>
      </c>
      <c r="R584" s="93">
        <v>43173</v>
      </c>
      <c r="S584" s="93" t="s">
        <v>2730</v>
      </c>
    </row>
    <row r="585" spans="1:19">
      <c r="A585" s="92">
        <v>43173</v>
      </c>
      <c r="C585" s="1" t="s">
        <v>56</v>
      </c>
      <c r="E585" s="98" t="s">
        <v>931</v>
      </c>
      <c r="F585" s="1" t="s">
        <v>932</v>
      </c>
      <c r="G585" s="1" t="s">
        <v>2390</v>
      </c>
      <c r="H585" s="1">
        <v>10</v>
      </c>
      <c r="I585" s="1" t="s">
        <v>928</v>
      </c>
      <c r="J585" s="1">
        <v>10</v>
      </c>
      <c r="K585" s="1" t="s">
        <v>226</v>
      </c>
      <c r="L585" s="1" t="s">
        <v>117</v>
      </c>
      <c r="M585" s="1" t="s">
        <v>2661</v>
      </c>
      <c r="N585" s="1" t="s">
        <v>72</v>
      </c>
      <c r="O585" s="1" t="s">
        <v>64</v>
      </c>
      <c r="P585" s="1" t="s">
        <v>53</v>
      </c>
      <c r="R585" s="93">
        <v>43173</v>
      </c>
      <c r="S585" s="93" t="s">
        <v>2730</v>
      </c>
    </row>
    <row r="586" spans="1:19">
      <c r="A586" s="92">
        <v>43173</v>
      </c>
      <c r="C586" s="1" t="s">
        <v>56</v>
      </c>
      <c r="E586" s="98" t="s">
        <v>933</v>
      </c>
      <c r="F586" s="1" t="s">
        <v>934</v>
      </c>
      <c r="G586" s="1" t="s">
        <v>2391</v>
      </c>
      <c r="H586" s="1">
        <v>10</v>
      </c>
      <c r="I586" s="1" t="s">
        <v>928</v>
      </c>
      <c r="J586" s="1">
        <v>10</v>
      </c>
      <c r="K586" s="1" t="s">
        <v>206</v>
      </c>
      <c r="L586" s="1" t="s">
        <v>70</v>
      </c>
      <c r="M586" s="1" t="s">
        <v>71</v>
      </c>
      <c r="N586" s="1" t="s">
        <v>72</v>
      </c>
      <c r="O586" s="1" t="s">
        <v>64</v>
      </c>
      <c r="P586" s="1" t="s">
        <v>73</v>
      </c>
      <c r="R586" s="93">
        <v>43173</v>
      </c>
      <c r="S586" s="93" t="s">
        <v>2730</v>
      </c>
    </row>
    <row r="587" spans="1:19">
      <c r="A587" s="92">
        <v>43173</v>
      </c>
      <c r="C587" s="1" t="s">
        <v>66</v>
      </c>
      <c r="E587" s="98" t="s">
        <v>935</v>
      </c>
      <c r="F587" s="1" t="s">
        <v>936</v>
      </c>
      <c r="G587" s="1" t="s">
        <v>2392</v>
      </c>
      <c r="H587" s="1">
        <v>5</v>
      </c>
      <c r="I587" s="1" t="s">
        <v>928</v>
      </c>
      <c r="J587" s="1">
        <v>5</v>
      </c>
      <c r="K587" s="1" t="s">
        <v>70</v>
      </c>
      <c r="L587" s="1" t="s">
        <v>70</v>
      </c>
      <c r="M587" s="1" t="s">
        <v>71</v>
      </c>
      <c r="N587" s="1" t="s">
        <v>72</v>
      </c>
      <c r="O587" s="1" t="s">
        <v>64</v>
      </c>
      <c r="P587" s="1" t="s">
        <v>73</v>
      </c>
      <c r="R587" s="93">
        <v>43173</v>
      </c>
      <c r="S587" s="93" t="s">
        <v>2730</v>
      </c>
    </row>
    <row r="588" spans="1:19">
      <c r="A588" s="92">
        <v>43173</v>
      </c>
      <c r="C588" s="1" t="s">
        <v>56</v>
      </c>
      <c r="E588" s="98" t="s">
        <v>725</v>
      </c>
      <c r="F588" s="1" t="s">
        <v>726</v>
      </c>
      <c r="G588" s="1" t="s">
        <v>2308</v>
      </c>
      <c r="H588" s="1">
        <v>2</v>
      </c>
      <c r="I588" s="1" t="s">
        <v>928</v>
      </c>
      <c r="J588" s="1">
        <v>2</v>
      </c>
      <c r="K588" s="1" t="s">
        <v>226</v>
      </c>
      <c r="L588" s="1" t="s">
        <v>117</v>
      </c>
      <c r="M588" s="1" t="s">
        <v>2661</v>
      </c>
      <c r="N588" s="1" t="s">
        <v>72</v>
      </c>
      <c r="O588" s="1" t="s">
        <v>64</v>
      </c>
      <c r="P588" s="1" t="s">
        <v>53</v>
      </c>
      <c r="R588" s="93">
        <v>43173</v>
      </c>
      <c r="S588" s="93" t="s">
        <v>2730</v>
      </c>
    </row>
    <row r="589" spans="1:19">
      <c r="A589" s="92">
        <v>43173</v>
      </c>
      <c r="C589" s="1" t="s">
        <v>56</v>
      </c>
      <c r="E589" s="98" t="s">
        <v>937</v>
      </c>
      <c r="F589" s="1" t="s">
        <v>938</v>
      </c>
      <c r="G589" s="1" t="s">
        <v>2393</v>
      </c>
      <c r="H589" s="1">
        <v>2</v>
      </c>
      <c r="I589" s="1" t="s">
        <v>928</v>
      </c>
      <c r="J589" s="1">
        <v>2</v>
      </c>
      <c r="K589" s="1" t="s">
        <v>252</v>
      </c>
      <c r="L589" s="1" t="s">
        <v>253</v>
      </c>
      <c r="M589" s="1" t="s">
        <v>94</v>
      </c>
      <c r="N589" s="1" t="s">
        <v>72</v>
      </c>
      <c r="O589" s="1" t="s">
        <v>64</v>
      </c>
      <c r="P589" s="1" t="s">
        <v>95</v>
      </c>
      <c r="R589" s="93">
        <v>43173</v>
      </c>
      <c r="S589" s="93" t="s">
        <v>2730</v>
      </c>
    </row>
    <row r="590" spans="1:19">
      <c r="A590" s="92">
        <v>43173</v>
      </c>
      <c r="C590" s="1" t="s">
        <v>66</v>
      </c>
      <c r="E590" s="98" t="s">
        <v>939</v>
      </c>
      <c r="F590" s="1" t="s">
        <v>940</v>
      </c>
      <c r="G590" s="1" t="s">
        <v>2394</v>
      </c>
      <c r="H590" s="1">
        <v>5</v>
      </c>
      <c r="I590" s="1" t="s">
        <v>928</v>
      </c>
      <c r="J590" s="1">
        <v>5</v>
      </c>
      <c r="K590" s="1" t="s">
        <v>306</v>
      </c>
      <c r="L590" s="1" t="s">
        <v>70</v>
      </c>
      <c r="M590" s="1" t="s">
        <v>71</v>
      </c>
      <c r="N590" s="1" t="s">
        <v>72</v>
      </c>
      <c r="O590" s="1" t="s">
        <v>64</v>
      </c>
      <c r="P590" s="1" t="s">
        <v>73</v>
      </c>
      <c r="R590" s="93">
        <v>43173</v>
      </c>
      <c r="S590" s="93" t="s">
        <v>2730</v>
      </c>
    </row>
    <row r="591" spans="1:19">
      <c r="A591" s="92">
        <v>43173</v>
      </c>
      <c r="C591" s="1" t="s">
        <v>56</v>
      </c>
      <c r="E591" s="98" t="s">
        <v>941</v>
      </c>
      <c r="F591" s="1" t="s">
        <v>942</v>
      </c>
      <c r="G591" s="1" t="s">
        <v>2015</v>
      </c>
      <c r="H591" s="1">
        <v>0.1</v>
      </c>
      <c r="I591" s="1" t="s">
        <v>928</v>
      </c>
      <c r="J591" s="1">
        <v>0.1</v>
      </c>
      <c r="K591" s="1" t="s">
        <v>144</v>
      </c>
      <c r="L591" s="1" t="s">
        <v>93</v>
      </c>
      <c r="M591" s="1" t="s">
        <v>94</v>
      </c>
      <c r="N591" s="1" t="s">
        <v>72</v>
      </c>
      <c r="O591" s="1" t="s">
        <v>64</v>
      </c>
      <c r="P591" s="1" t="s">
        <v>95</v>
      </c>
      <c r="R591" s="93">
        <v>43173</v>
      </c>
      <c r="S591" s="93" t="s">
        <v>2730</v>
      </c>
    </row>
    <row r="592" spans="1:19">
      <c r="A592" s="92">
        <v>43173</v>
      </c>
      <c r="C592" s="1" t="s">
        <v>56</v>
      </c>
      <c r="E592" s="98" t="s">
        <v>943</v>
      </c>
      <c r="F592" s="1" t="s">
        <v>944</v>
      </c>
      <c r="G592" s="1" t="s">
        <v>2395</v>
      </c>
      <c r="H592" s="1">
        <v>0.5</v>
      </c>
      <c r="I592" s="1" t="s">
        <v>928</v>
      </c>
      <c r="J592" s="1">
        <v>0.5</v>
      </c>
      <c r="K592" s="1" t="s">
        <v>945</v>
      </c>
      <c r="L592" s="1" t="s">
        <v>253</v>
      </c>
      <c r="M592" s="1" t="s">
        <v>94</v>
      </c>
      <c r="N592" s="1" t="s">
        <v>72</v>
      </c>
      <c r="O592" s="1" t="s">
        <v>64</v>
      </c>
      <c r="P592" s="1" t="s">
        <v>95</v>
      </c>
      <c r="R592" s="93">
        <v>43173</v>
      </c>
      <c r="S592" s="93" t="s">
        <v>2730</v>
      </c>
    </row>
    <row r="593" spans="1:19">
      <c r="A593" s="92">
        <v>43174</v>
      </c>
      <c r="C593" s="1" t="s">
        <v>56</v>
      </c>
      <c r="E593" s="98" t="s">
        <v>946</v>
      </c>
      <c r="F593" s="1" t="s">
        <v>947</v>
      </c>
      <c r="G593" s="1" t="s">
        <v>2396</v>
      </c>
      <c r="H593" s="1">
        <v>0.05</v>
      </c>
      <c r="I593" s="1" t="s">
        <v>928</v>
      </c>
      <c r="J593" s="1">
        <v>0.05</v>
      </c>
      <c r="K593" s="1" t="s">
        <v>296</v>
      </c>
      <c r="L593" s="1" t="s">
        <v>93</v>
      </c>
      <c r="M593" s="1" t="s">
        <v>94</v>
      </c>
      <c r="N593" s="1" t="s">
        <v>72</v>
      </c>
      <c r="O593" s="1" t="s">
        <v>64</v>
      </c>
      <c r="P593" s="1" t="s">
        <v>95</v>
      </c>
      <c r="R593" s="93">
        <v>43174</v>
      </c>
      <c r="S593" s="93" t="s">
        <v>2730</v>
      </c>
    </row>
    <row r="594" spans="1:19">
      <c r="A594" s="92">
        <v>43174</v>
      </c>
      <c r="C594" s="1" t="s">
        <v>56</v>
      </c>
      <c r="E594" s="98" t="s">
        <v>948</v>
      </c>
      <c r="F594" s="1" t="s">
        <v>949</v>
      </c>
      <c r="G594" s="1" t="s">
        <v>2397</v>
      </c>
      <c r="H594" s="1">
        <v>1</v>
      </c>
      <c r="I594" s="1" t="s">
        <v>928</v>
      </c>
      <c r="J594" s="1">
        <v>1</v>
      </c>
      <c r="K594" s="1" t="s">
        <v>124</v>
      </c>
      <c r="L594" s="1" t="s">
        <v>117</v>
      </c>
      <c r="M594" s="1" t="s">
        <v>2661</v>
      </c>
      <c r="N594" s="1" t="s">
        <v>72</v>
      </c>
      <c r="O594" s="1" t="s">
        <v>64</v>
      </c>
      <c r="P594" s="1" t="s">
        <v>53</v>
      </c>
      <c r="R594" s="93">
        <v>43174</v>
      </c>
      <c r="S594" s="93" t="s">
        <v>2730</v>
      </c>
    </row>
    <row r="595" spans="1:19">
      <c r="A595" s="92">
        <v>43174</v>
      </c>
      <c r="C595" s="1" t="s">
        <v>56</v>
      </c>
      <c r="E595" s="98" t="s">
        <v>950</v>
      </c>
      <c r="F595" s="1" t="s">
        <v>951</v>
      </c>
      <c r="G595" s="1" t="s">
        <v>2398</v>
      </c>
      <c r="H595" s="1">
        <v>2</v>
      </c>
      <c r="I595" s="1" t="s">
        <v>928</v>
      </c>
      <c r="J595" s="1">
        <v>2</v>
      </c>
      <c r="K595" s="1" t="s">
        <v>226</v>
      </c>
      <c r="L595" s="1" t="s">
        <v>117</v>
      </c>
      <c r="M595" s="1" t="s">
        <v>2661</v>
      </c>
      <c r="N595" s="1" t="s">
        <v>72</v>
      </c>
      <c r="O595" s="1" t="s">
        <v>64</v>
      </c>
      <c r="P595" s="1" t="s">
        <v>53</v>
      </c>
      <c r="R595" s="93">
        <v>43174</v>
      </c>
      <c r="S595" s="93" t="s">
        <v>2730</v>
      </c>
    </row>
    <row r="596" spans="1:19">
      <c r="A596" s="92">
        <v>43174</v>
      </c>
      <c r="C596" s="1" t="s">
        <v>56</v>
      </c>
      <c r="E596" s="98" t="s">
        <v>952</v>
      </c>
      <c r="F596" s="1" t="s">
        <v>953</v>
      </c>
      <c r="G596" s="1" t="s">
        <v>2399</v>
      </c>
      <c r="H596" s="1">
        <v>2</v>
      </c>
      <c r="I596" s="1" t="s">
        <v>954</v>
      </c>
      <c r="J596" s="1">
        <v>2</v>
      </c>
      <c r="K596" s="1" t="s">
        <v>955</v>
      </c>
      <c r="L596" s="1" t="s">
        <v>105</v>
      </c>
      <c r="M596" s="1" t="s">
        <v>62</v>
      </c>
      <c r="N596" s="1" t="s">
        <v>63</v>
      </c>
      <c r="O596" s="1" t="s">
        <v>64</v>
      </c>
      <c r="P596" s="1" t="s">
        <v>65</v>
      </c>
      <c r="R596" s="93">
        <v>43174</v>
      </c>
      <c r="S596" s="93" t="s">
        <v>2731</v>
      </c>
    </row>
    <row r="597" spans="1:19">
      <c r="A597" s="92">
        <v>43174</v>
      </c>
      <c r="C597" s="1" t="s">
        <v>56</v>
      </c>
      <c r="E597" s="98" t="s">
        <v>956</v>
      </c>
      <c r="F597" s="1" t="s">
        <v>957</v>
      </c>
      <c r="G597" s="1" t="s">
        <v>2400</v>
      </c>
      <c r="H597" s="1">
        <v>20</v>
      </c>
      <c r="I597" s="1" t="s">
        <v>954</v>
      </c>
      <c r="J597" s="1">
        <v>20</v>
      </c>
      <c r="K597" s="1" t="s">
        <v>353</v>
      </c>
      <c r="L597" s="1" t="s">
        <v>281</v>
      </c>
      <c r="M597" s="1" t="s">
        <v>71</v>
      </c>
      <c r="N597" s="1" t="s">
        <v>72</v>
      </c>
      <c r="O597" s="1" t="s">
        <v>64</v>
      </c>
      <c r="P597" s="1" t="s">
        <v>73</v>
      </c>
      <c r="R597" s="93">
        <v>43174</v>
      </c>
      <c r="S597" s="93" t="s">
        <v>2731</v>
      </c>
    </row>
    <row r="598" spans="1:19">
      <c r="A598" s="92">
        <v>43174</v>
      </c>
      <c r="C598" s="1" t="s">
        <v>66</v>
      </c>
      <c r="E598" s="98" t="s">
        <v>958</v>
      </c>
      <c r="F598" s="1" t="s">
        <v>959</v>
      </c>
      <c r="G598" s="1" t="s">
        <v>2401</v>
      </c>
      <c r="H598" s="1">
        <v>1</v>
      </c>
      <c r="I598" s="1" t="s">
        <v>954</v>
      </c>
      <c r="J598" s="1">
        <v>1</v>
      </c>
      <c r="K598" s="1" t="s">
        <v>141</v>
      </c>
      <c r="L598" s="1" t="s">
        <v>131</v>
      </c>
      <c r="M598" s="1" t="s">
        <v>132</v>
      </c>
      <c r="N598" s="1" t="s">
        <v>72</v>
      </c>
      <c r="O598" s="1" t="s">
        <v>64</v>
      </c>
      <c r="P598" s="1" t="s">
        <v>133</v>
      </c>
      <c r="R598" s="93">
        <v>43174</v>
      </c>
      <c r="S598" s="93" t="s">
        <v>2731</v>
      </c>
    </row>
    <row r="599" spans="1:19">
      <c r="A599" s="92">
        <v>43174</v>
      </c>
      <c r="C599" s="1" t="s">
        <v>56</v>
      </c>
      <c r="E599" s="98" t="s">
        <v>513</v>
      </c>
      <c r="F599" s="1" t="s">
        <v>514</v>
      </c>
      <c r="G599" s="1" t="s">
        <v>2228</v>
      </c>
      <c r="H599" s="1">
        <v>0.6</v>
      </c>
      <c r="I599" s="1" t="s">
        <v>954</v>
      </c>
      <c r="J599" s="1">
        <v>0.6</v>
      </c>
      <c r="K599" s="1" t="s">
        <v>172</v>
      </c>
      <c r="L599" s="1" t="s">
        <v>131</v>
      </c>
      <c r="M599" s="1" t="s">
        <v>132</v>
      </c>
      <c r="N599" s="1" t="s">
        <v>72</v>
      </c>
      <c r="O599" s="1" t="s">
        <v>64</v>
      </c>
      <c r="P599" s="1" t="s">
        <v>133</v>
      </c>
      <c r="R599" s="93">
        <v>43174</v>
      </c>
      <c r="S599" s="93" t="s">
        <v>2731</v>
      </c>
    </row>
    <row r="600" spans="1:19">
      <c r="A600" s="92">
        <v>43174</v>
      </c>
      <c r="C600" s="1" t="s">
        <v>56</v>
      </c>
      <c r="E600" s="98" t="s">
        <v>964</v>
      </c>
      <c r="F600" s="1" t="s">
        <v>965</v>
      </c>
      <c r="G600" s="1" t="s">
        <v>2402</v>
      </c>
      <c r="H600" s="1">
        <v>3</v>
      </c>
      <c r="I600" s="1" t="s">
        <v>954</v>
      </c>
      <c r="J600" s="1">
        <v>3</v>
      </c>
      <c r="K600" s="1" t="s">
        <v>70</v>
      </c>
      <c r="L600" s="1" t="s">
        <v>70</v>
      </c>
      <c r="M600" s="1" t="s">
        <v>71</v>
      </c>
      <c r="N600" s="1" t="s">
        <v>72</v>
      </c>
      <c r="O600" s="1" t="s">
        <v>64</v>
      </c>
      <c r="P600" s="1" t="s">
        <v>73</v>
      </c>
      <c r="R600" s="93">
        <v>43174</v>
      </c>
      <c r="S600" s="93" t="s">
        <v>2731</v>
      </c>
    </row>
    <row r="601" spans="1:19">
      <c r="A601" s="92">
        <v>43174</v>
      </c>
      <c r="C601" s="1" t="s">
        <v>56</v>
      </c>
      <c r="E601" s="98" t="s">
        <v>966</v>
      </c>
      <c r="F601" s="1" t="s">
        <v>967</v>
      </c>
      <c r="G601" s="1" t="s">
        <v>2403</v>
      </c>
      <c r="H601" s="1">
        <v>1</v>
      </c>
      <c r="I601" s="1" t="s">
        <v>954</v>
      </c>
      <c r="J601" s="1">
        <v>1</v>
      </c>
      <c r="K601" s="1" t="s">
        <v>175</v>
      </c>
      <c r="L601" s="1" t="s">
        <v>131</v>
      </c>
      <c r="M601" s="1" t="s">
        <v>132</v>
      </c>
      <c r="N601" s="1" t="s">
        <v>72</v>
      </c>
      <c r="O601" s="1" t="s">
        <v>64</v>
      </c>
      <c r="P601" s="1" t="s">
        <v>133</v>
      </c>
      <c r="R601" s="93">
        <v>43174</v>
      </c>
      <c r="S601" s="93" t="s">
        <v>2731</v>
      </c>
    </row>
    <row r="602" spans="1:19">
      <c r="A602" s="92">
        <v>43174</v>
      </c>
      <c r="C602" s="1" t="s">
        <v>56</v>
      </c>
      <c r="E602" s="98" t="s">
        <v>968</v>
      </c>
      <c r="F602" s="1" t="s">
        <v>969</v>
      </c>
      <c r="G602" s="1" t="s">
        <v>2404</v>
      </c>
      <c r="H602" s="1">
        <v>2.0101369999999998</v>
      </c>
      <c r="I602" s="1" t="s">
        <v>954</v>
      </c>
      <c r="J602" s="1">
        <v>2.0101369999999998</v>
      </c>
      <c r="K602" s="1" t="s">
        <v>434</v>
      </c>
      <c r="L602" s="1" t="s">
        <v>269</v>
      </c>
      <c r="M602" s="1" t="s">
        <v>132</v>
      </c>
      <c r="N602" s="1" t="s">
        <v>72</v>
      </c>
      <c r="O602" s="1" t="s">
        <v>64</v>
      </c>
      <c r="P602" s="1" t="s">
        <v>133</v>
      </c>
      <c r="R602" s="93">
        <v>43174</v>
      </c>
      <c r="S602" s="93" t="s">
        <v>2731</v>
      </c>
    </row>
    <row r="603" spans="1:19">
      <c r="A603" s="92">
        <v>43174</v>
      </c>
      <c r="C603" s="1" t="s">
        <v>66</v>
      </c>
      <c r="E603" s="98" t="s">
        <v>970</v>
      </c>
      <c r="F603" s="1" t="s">
        <v>971</v>
      </c>
      <c r="G603" s="1" t="s">
        <v>2405</v>
      </c>
      <c r="H603" s="1">
        <v>0.2</v>
      </c>
      <c r="I603" s="1" t="s">
        <v>954</v>
      </c>
      <c r="J603" s="1">
        <v>0.2</v>
      </c>
      <c r="K603" s="1" t="s">
        <v>563</v>
      </c>
      <c r="L603" s="1" t="s">
        <v>281</v>
      </c>
      <c r="M603" s="1" t="s">
        <v>71</v>
      </c>
      <c r="N603" s="1" t="s">
        <v>72</v>
      </c>
      <c r="O603" s="1" t="s">
        <v>64</v>
      </c>
      <c r="P603" s="1" t="s">
        <v>73</v>
      </c>
      <c r="R603" s="93">
        <v>43174</v>
      </c>
      <c r="S603" s="93" t="s">
        <v>2731</v>
      </c>
    </row>
    <row r="604" spans="1:19">
      <c r="A604" s="92">
        <v>43174</v>
      </c>
      <c r="C604" s="1" t="s">
        <v>66</v>
      </c>
      <c r="E604" s="98" t="s">
        <v>972</v>
      </c>
      <c r="F604" s="1" t="s">
        <v>973</v>
      </c>
      <c r="G604" s="1" t="s">
        <v>2406</v>
      </c>
      <c r="H604" s="1">
        <v>10</v>
      </c>
      <c r="I604" s="1" t="s">
        <v>954</v>
      </c>
      <c r="J604" s="1">
        <v>10</v>
      </c>
      <c r="K604" s="1" t="s">
        <v>365</v>
      </c>
      <c r="L604" s="1" t="s">
        <v>102</v>
      </c>
      <c r="M604" s="1" t="s">
        <v>94</v>
      </c>
      <c r="N604" s="1" t="s">
        <v>72</v>
      </c>
      <c r="O604" s="1" t="s">
        <v>64</v>
      </c>
      <c r="P604" s="1" t="s">
        <v>95</v>
      </c>
      <c r="R604" s="93">
        <v>43174</v>
      </c>
      <c r="S604" s="93" t="s">
        <v>2731</v>
      </c>
    </row>
    <row r="605" spans="1:19">
      <c r="A605" s="92">
        <v>43174</v>
      </c>
      <c r="C605" s="1" t="s">
        <v>56</v>
      </c>
      <c r="E605" s="98" t="s">
        <v>719</v>
      </c>
      <c r="F605" s="1" t="s">
        <v>720</v>
      </c>
      <c r="G605" s="1" t="s">
        <v>2047</v>
      </c>
      <c r="H605" s="1">
        <v>1.1000000000000001</v>
      </c>
      <c r="I605" s="1" t="s">
        <v>954</v>
      </c>
      <c r="J605" s="1">
        <v>1.1000000000000001</v>
      </c>
      <c r="K605" s="1" t="s">
        <v>136</v>
      </c>
      <c r="L605" s="1" t="s">
        <v>85</v>
      </c>
      <c r="M605" s="1" t="s">
        <v>71</v>
      </c>
      <c r="N605" s="1" t="s">
        <v>72</v>
      </c>
      <c r="O605" s="1" t="s">
        <v>64</v>
      </c>
      <c r="P605" s="1" t="s">
        <v>73</v>
      </c>
      <c r="R605" s="93">
        <v>43174</v>
      </c>
      <c r="S605" s="93" t="s">
        <v>2731</v>
      </c>
    </row>
    <row r="606" spans="1:19">
      <c r="A606" s="92">
        <v>43175</v>
      </c>
      <c r="C606" s="1" t="s">
        <v>56</v>
      </c>
      <c r="E606" s="98" t="s">
        <v>975</v>
      </c>
      <c r="F606" s="1" t="s">
        <v>976</v>
      </c>
      <c r="G606" s="1" t="s">
        <v>2407</v>
      </c>
      <c r="H606" s="1">
        <v>1.6990130000000001</v>
      </c>
      <c r="I606" s="1" t="s">
        <v>954</v>
      </c>
      <c r="J606" s="1">
        <v>1.6990130000000001</v>
      </c>
      <c r="K606" s="1" t="s">
        <v>114</v>
      </c>
      <c r="L606" s="1" t="s">
        <v>85</v>
      </c>
      <c r="M606" s="1" t="s">
        <v>71</v>
      </c>
      <c r="N606" s="1" t="s">
        <v>72</v>
      </c>
      <c r="O606" s="1" t="s">
        <v>64</v>
      </c>
      <c r="P606" s="1" t="s">
        <v>73</v>
      </c>
      <c r="R606" s="93">
        <v>43175</v>
      </c>
      <c r="S606" s="93" t="s">
        <v>2731</v>
      </c>
    </row>
    <row r="607" spans="1:19">
      <c r="A607" s="92">
        <v>43175</v>
      </c>
      <c r="C607" s="1" t="s">
        <v>56</v>
      </c>
      <c r="E607" s="98" t="s">
        <v>748</v>
      </c>
      <c r="F607" s="1" t="s">
        <v>749</v>
      </c>
      <c r="G607" s="1" t="s">
        <v>2319</v>
      </c>
      <c r="H607" s="1">
        <v>0.44418599999999997</v>
      </c>
      <c r="I607" s="1" t="s">
        <v>954</v>
      </c>
      <c r="J607" s="1">
        <v>0.44418599999999997</v>
      </c>
      <c r="K607" s="1" t="s">
        <v>175</v>
      </c>
      <c r="L607" s="1" t="s">
        <v>131</v>
      </c>
      <c r="M607" s="1" t="s">
        <v>132</v>
      </c>
      <c r="N607" s="1" t="s">
        <v>72</v>
      </c>
      <c r="O607" s="1" t="s">
        <v>64</v>
      </c>
      <c r="P607" s="1" t="s">
        <v>133</v>
      </c>
      <c r="R607" s="93">
        <v>43175</v>
      </c>
      <c r="S607" s="93" t="s">
        <v>2731</v>
      </c>
    </row>
    <row r="608" spans="1:19">
      <c r="A608" s="92">
        <v>43175</v>
      </c>
      <c r="C608" s="1" t="s">
        <v>56</v>
      </c>
      <c r="E608" s="98" t="s">
        <v>748</v>
      </c>
      <c r="F608" s="1" t="s">
        <v>749</v>
      </c>
      <c r="G608" s="1" t="s">
        <v>2319</v>
      </c>
      <c r="H608" s="1">
        <v>0.66627899999999995</v>
      </c>
      <c r="I608" s="1" t="s">
        <v>954</v>
      </c>
      <c r="J608" s="1">
        <v>0.66627899999999995</v>
      </c>
      <c r="K608" s="1" t="s">
        <v>175</v>
      </c>
      <c r="L608" s="1" t="s">
        <v>131</v>
      </c>
      <c r="M608" s="1" t="s">
        <v>132</v>
      </c>
      <c r="N608" s="1" t="s">
        <v>72</v>
      </c>
      <c r="O608" s="1" t="s">
        <v>64</v>
      </c>
      <c r="P608" s="1" t="s">
        <v>133</v>
      </c>
      <c r="R608" s="93">
        <v>43175</v>
      </c>
      <c r="S608" s="93" t="s">
        <v>2731</v>
      </c>
    </row>
    <row r="609" spans="1:19">
      <c r="A609" s="92">
        <v>43175</v>
      </c>
      <c r="C609" s="1" t="s">
        <v>56</v>
      </c>
      <c r="E609" s="98" t="s">
        <v>977</v>
      </c>
      <c r="F609" s="1" t="s">
        <v>978</v>
      </c>
      <c r="G609" s="1" t="s">
        <v>2408</v>
      </c>
      <c r="H609" s="1">
        <v>5</v>
      </c>
      <c r="I609" s="1" t="s">
        <v>954</v>
      </c>
      <c r="J609" s="1">
        <v>5</v>
      </c>
      <c r="K609" s="1" t="s">
        <v>136</v>
      </c>
      <c r="L609" s="1" t="s">
        <v>85</v>
      </c>
      <c r="M609" s="1" t="s">
        <v>71</v>
      </c>
      <c r="N609" s="1" t="s">
        <v>72</v>
      </c>
      <c r="O609" s="1" t="s">
        <v>64</v>
      </c>
      <c r="P609" s="1" t="s">
        <v>73</v>
      </c>
      <c r="R609" s="93">
        <v>43175</v>
      </c>
      <c r="S609" s="93" t="s">
        <v>2731</v>
      </c>
    </row>
    <row r="610" spans="1:19">
      <c r="A610" s="92">
        <v>43175</v>
      </c>
      <c r="C610" s="1" t="s">
        <v>56</v>
      </c>
      <c r="E610" s="98" t="s">
        <v>693</v>
      </c>
      <c r="F610" s="1" t="s">
        <v>694</v>
      </c>
      <c r="G610" s="1" t="s">
        <v>2295</v>
      </c>
      <c r="H610" s="1">
        <v>0.1</v>
      </c>
      <c r="I610" s="1" t="s">
        <v>954</v>
      </c>
      <c r="J610" s="1">
        <v>0.1</v>
      </c>
      <c r="K610" s="1" t="s">
        <v>656</v>
      </c>
      <c r="L610" s="1" t="s">
        <v>105</v>
      </c>
      <c r="M610" s="1" t="s">
        <v>62</v>
      </c>
      <c r="N610" s="1" t="s">
        <v>63</v>
      </c>
      <c r="O610" s="1" t="s">
        <v>64</v>
      </c>
      <c r="P610" s="1" t="s">
        <v>65</v>
      </c>
      <c r="R610" s="93">
        <v>43175</v>
      </c>
      <c r="S610" s="93" t="s">
        <v>2731</v>
      </c>
    </row>
    <row r="611" spans="1:19">
      <c r="A611" s="92">
        <v>43174</v>
      </c>
      <c r="C611" s="1" t="s">
        <v>56</v>
      </c>
      <c r="E611" s="98" t="s">
        <v>979</v>
      </c>
      <c r="F611" s="1" t="s">
        <v>980</v>
      </c>
      <c r="G611" s="1" t="s">
        <v>2409</v>
      </c>
      <c r="H611" s="1">
        <v>3</v>
      </c>
      <c r="I611" s="1" t="s">
        <v>981</v>
      </c>
      <c r="J611" s="1">
        <v>1.8</v>
      </c>
      <c r="K611" s="1" t="s">
        <v>656</v>
      </c>
      <c r="L611" s="1" t="s">
        <v>105</v>
      </c>
      <c r="M611" s="1" t="s">
        <v>62</v>
      </c>
      <c r="N611" s="1" t="s">
        <v>63</v>
      </c>
      <c r="O611" s="1" t="s">
        <v>64</v>
      </c>
      <c r="P611" s="1" t="s">
        <v>65</v>
      </c>
      <c r="R611" s="93">
        <v>43174</v>
      </c>
      <c r="S611" s="93" t="s">
        <v>2732</v>
      </c>
    </row>
    <row r="612" spans="1:19">
      <c r="A612" s="92">
        <v>43174</v>
      </c>
      <c r="C612" s="1" t="s">
        <v>56</v>
      </c>
      <c r="E612" s="98" t="s">
        <v>517</v>
      </c>
      <c r="F612" s="1" t="s">
        <v>518</v>
      </c>
      <c r="G612" s="1" t="s">
        <v>2230</v>
      </c>
      <c r="H612" s="1">
        <v>11</v>
      </c>
      <c r="I612" s="1" t="s">
        <v>981</v>
      </c>
      <c r="J612" s="1">
        <v>6.6</v>
      </c>
      <c r="K612" s="1" t="s">
        <v>124</v>
      </c>
      <c r="L612" s="1" t="s">
        <v>117</v>
      </c>
      <c r="M612" s="1" t="s">
        <v>2661</v>
      </c>
      <c r="N612" s="1" t="s">
        <v>72</v>
      </c>
      <c r="O612" s="1" t="s">
        <v>64</v>
      </c>
      <c r="P612" s="1" t="s">
        <v>53</v>
      </c>
      <c r="R612" s="93">
        <v>43174</v>
      </c>
      <c r="S612" s="93" t="s">
        <v>2732</v>
      </c>
    </row>
    <row r="613" spans="1:19">
      <c r="A613" s="92">
        <v>43174</v>
      </c>
      <c r="C613" s="1" t="s">
        <v>56</v>
      </c>
      <c r="E613" s="98" t="s">
        <v>412</v>
      </c>
      <c r="F613" s="1" t="s">
        <v>413</v>
      </c>
      <c r="G613" s="1" t="s">
        <v>2190</v>
      </c>
      <c r="H613" s="1">
        <v>5</v>
      </c>
      <c r="I613" s="1" t="s">
        <v>981</v>
      </c>
      <c r="J613" s="1">
        <v>3</v>
      </c>
      <c r="K613" s="1" t="s">
        <v>167</v>
      </c>
      <c r="L613" s="1" t="s">
        <v>117</v>
      </c>
      <c r="M613" s="1" t="s">
        <v>2661</v>
      </c>
      <c r="N613" s="1" t="s">
        <v>72</v>
      </c>
      <c r="O613" s="1" t="s">
        <v>64</v>
      </c>
      <c r="P613" s="1" t="s">
        <v>53</v>
      </c>
      <c r="R613" s="93">
        <v>43174</v>
      </c>
      <c r="S613" s="93" t="s">
        <v>2732</v>
      </c>
    </row>
    <row r="614" spans="1:19">
      <c r="A614" s="92">
        <v>43174</v>
      </c>
      <c r="C614" s="1" t="s">
        <v>56</v>
      </c>
      <c r="E614" s="98" t="s">
        <v>982</v>
      </c>
      <c r="F614" s="1" t="s">
        <v>983</v>
      </c>
      <c r="G614" s="1" t="s">
        <v>2410</v>
      </c>
      <c r="H614" s="1">
        <v>15</v>
      </c>
      <c r="I614" s="1" t="s">
        <v>981</v>
      </c>
      <c r="J614" s="1">
        <v>9</v>
      </c>
      <c r="K614" s="1" t="s">
        <v>312</v>
      </c>
      <c r="L614" s="1" t="s">
        <v>117</v>
      </c>
      <c r="M614" s="1" t="s">
        <v>2661</v>
      </c>
      <c r="N614" s="1" t="s">
        <v>72</v>
      </c>
      <c r="O614" s="1" t="s">
        <v>64</v>
      </c>
      <c r="P614" s="1" t="s">
        <v>53</v>
      </c>
      <c r="R614" s="93">
        <v>43174</v>
      </c>
      <c r="S614" s="93" t="s">
        <v>2732</v>
      </c>
    </row>
    <row r="615" spans="1:19">
      <c r="A615" s="92">
        <v>43174</v>
      </c>
      <c r="C615" s="1" t="s">
        <v>66</v>
      </c>
      <c r="E615" s="98" t="s">
        <v>984</v>
      </c>
      <c r="F615" s="1" t="s">
        <v>985</v>
      </c>
      <c r="G615" s="1" t="s">
        <v>2411</v>
      </c>
      <c r="H615" s="1">
        <v>0.01</v>
      </c>
      <c r="I615" s="1" t="s">
        <v>981</v>
      </c>
      <c r="J615" s="1">
        <v>6.0000000000000001E-3</v>
      </c>
      <c r="K615" s="1" t="s">
        <v>353</v>
      </c>
      <c r="L615" s="1" t="s">
        <v>281</v>
      </c>
      <c r="M615" s="1" t="s">
        <v>71</v>
      </c>
      <c r="N615" s="1" t="s">
        <v>72</v>
      </c>
      <c r="O615" s="1" t="s">
        <v>64</v>
      </c>
      <c r="P615" s="1" t="s">
        <v>73</v>
      </c>
      <c r="R615" s="93">
        <v>43174</v>
      </c>
      <c r="S615" s="93" t="s">
        <v>2732</v>
      </c>
    </row>
    <row r="616" spans="1:19">
      <c r="A616" s="92">
        <v>43175</v>
      </c>
      <c r="C616" s="1" t="s">
        <v>56</v>
      </c>
      <c r="E616" s="98" t="s">
        <v>756</v>
      </c>
      <c r="F616" s="1" t="s">
        <v>757</v>
      </c>
      <c r="G616" s="1" t="s">
        <v>2322</v>
      </c>
      <c r="H616" s="1">
        <v>1.54</v>
      </c>
      <c r="I616" s="1" t="s">
        <v>981</v>
      </c>
      <c r="J616" s="1">
        <v>0.92400000000000004</v>
      </c>
      <c r="K616" s="1" t="s">
        <v>291</v>
      </c>
      <c r="L616" s="1" t="s">
        <v>85</v>
      </c>
      <c r="M616" s="1" t="s">
        <v>71</v>
      </c>
      <c r="N616" s="1" t="s">
        <v>72</v>
      </c>
      <c r="O616" s="1" t="s">
        <v>64</v>
      </c>
      <c r="P616" s="1" t="s">
        <v>73</v>
      </c>
      <c r="R616" s="93">
        <v>43175</v>
      </c>
      <c r="S616" s="93" t="s">
        <v>2732</v>
      </c>
    </row>
    <row r="617" spans="1:19">
      <c r="A617" s="92">
        <v>43174</v>
      </c>
      <c r="C617" s="1" t="s">
        <v>66</v>
      </c>
      <c r="E617" s="98" t="s">
        <v>986</v>
      </c>
      <c r="F617" s="1" t="s">
        <v>987</v>
      </c>
      <c r="G617" s="1" t="s">
        <v>2412</v>
      </c>
      <c r="H617" s="1">
        <v>10</v>
      </c>
      <c r="I617" s="1" t="s">
        <v>988</v>
      </c>
      <c r="J617" s="1">
        <v>10</v>
      </c>
      <c r="K617" s="1" t="s">
        <v>234</v>
      </c>
      <c r="L617" s="1" t="s">
        <v>131</v>
      </c>
      <c r="M617" s="1" t="s">
        <v>132</v>
      </c>
      <c r="N617" s="1" t="s">
        <v>72</v>
      </c>
      <c r="O617" s="1" t="s">
        <v>64</v>
      </c>
      <c r="P617" s="1" t="s">
        <v>133</v>
      </c>
      <c r="R617" s="93">
        <v>43174</v>
      </c>
      <c r="S617" s="93" t="s">
        <v>2731</v>
      </c>
    </row>
    <row r="618" spans="1:19">
      <c r="A618" s="92">
        <v>43174</v>
      </c>
      <c r="C618" s="1" t="s">
        <v>56</v>
      </c>
      <c r="E618" s="98" t="s">
        <v>989</v>
      </c>
      <c r="F618" s="1" t="s">
        <v>990</v>
      </c>
      <c r="G618" s="1" t="s">
        <v>2413</v>
      </c>
      <c r="H618" s="1">
        <v>5.0253420000000002</v>
      </c>
      <c r="I618" s="1" t="s">
        <v>988</v>
      </c>
      <c r="J618" s="1">
        <v>5.0253420000000002</v>
      </c>
      <c r="K618" s="1" t="s">
        <v>551</v>
      </c>
      <c r="L618" s="1" t="s">
        <v>105</v>
      </c>
      <c r="M618" s="1" t="s">
        <v>62</v>
      </c>
      <c r="N618" s="1" t="s">
        <v>63</v>
      </c>
      <c r="O618" s="1" t="s">
        <v>64</v>
      </c>
      <c r="P618" s="1" t="s">
        <v>65</v>
      </c>
      <c r="R618" s="93">
        <v>43174</v>
      </c>
      <c r="S618" s="93" t="s">
        <v>2731</v>
      </c>
    </row>
    <row r="619" spans="1:19">
      <c r="A619" s="92">
        <v>43174</v>
      </c>
      <c r="C619" s="1" t="s">
        <v>66</v>
      </c>
      <c r="E619" s="98" t="s">
        <v>986</v>
      </c>
      <c r="F619" s="1" t="s">
        <v>987</v>
      </c>
      <c r="G619" s="1" t="s">
        <v>2412</v>
      </c>
      <c r="H619" s="1">
        <v>0.1</v>
      </c>
      <c r="I619" s="1" t="s">
        <v>991</v>
      </c>
      <c r="J619" s="1">
        <v>0.03</v>
      </c>
      <c r="K619" s="1" t="s">
        <v>234</v>
      </c>
      <c r="L619" s="1" t="s">
        <v>131</v>
      </c>
      <c r="M619" s="1" t="s">
        <v>132</v>
      </c>
      <c r="N619" s="1" t="s">
        <v>72</v>
      </c>
      <c r="O619" s="1" t="s">
        <v>64</v>
      </c>
      <c r="P619" s="1" t="s">
        <v>133</v>
      </c>
      <c r="R619" s="93">
        <v>43174</v>
      </c>
      <c r="S619" s="93" t="s">
        <v>2733</v>
      </c>
    </row>
    <row r="620" spans="1:19">
      <c r="A620" s="92">
        <v>43174</v>
      </c>
      <c r="C620" s="1" t="s">
        <v>56</v>
      </c>
      <c r="E620" s="98" t="s">
        <v>992</v>
      </c>
      <c r="F620" s="1" t="s">
        <v>993</v>
      </c>
      <c r="G620" s="1" t="s">
        <v>2414</v>
      </c>
      <c r="H620" s="1">
        <v>5</v>
      </c>
      <c r="I620" s="1" t="s">
        <v>991</v>
      </c>
      <c r="J620" s="1">
        <v>1.5</v>
      </c>
      <c r="K620" s="1" t="s">
        <v>377</v>
      </c>
      <c r="L620" s="1" t="s">
        <v>110</v>
      </c>
      <c r="M620" s="1" t="s">
        <v>52</v>
      </c>
      <c r="N620" s="1" t="s">
        <v>63</v>
      </c>
      <c r="O620" s="1" t="s">
        <v>64</v>
      </c>
      <c r="P620" s="1" t="s">
        <v>111</v>
      </c>
      <c r="R620" s="93">
        <v>43174</v>
      </c>
      <c r="S620" s="93" t="s">
        <v>2733</v>
      </c>
    </row>
    <row r="621" spans="1:19">
      <c r="A621" s="92">
        <v>43174</v>
      </c>
      <c r="C621" s="1" t="s">
        <v>66</v>
      </c>
      <c r="E621" s="98" t="s">
        <v>549</v>
      </c>
      <c r="F621" s="1" t="s">
        <v>550</v>
      </c>
      <c r="G621" s="1" t="s">
        <v>2239</v>
      </c>
      <c r="H621" s="1">
        <v>0.15</v>
      </c>
      <c r="I621" s="1" t="s">
        <v>991</v>
      </c>
      <c r="J621" s="1">
        <v>4.4999999999999998E-2</v>
      </c>
      <c r="K621" s="1" t="s">
        <v>551</v>
      </c>
      <c r="L621" s="1" t="s">
        <v>105</v>
      </c>
      <c r="M621" s="1" t="s">
        <v>62</v>
      </c>
      <c r="N621" s="1" t="s">
        <v>63</v>
      </c>
      <c r="O621" s="1" t="s">
        <v>64</v>
      </c>
      <c r="P621" s="1" t="s">
        <v>65</v>
      </c>
      <c r="R621" s="93">
        <v>43174</v>
      </c>
      <c r="S621" s="93" t="s">
        <v>2733</v>
      </c>
    </row>
    <row r="622" spans="1:19">
      <c r="A622" s="92">
        <v>43174</v>
      </c>
      <c r="C622" s="1" t="s">
        <v>66</v>
      </c>
      <c r="E622" s="98" t="s">
        <v>994</v>
      </c>
      <c r="F622" s="1" t="s">
        <v>995</v>
      </c>
      <c r="G622" s="1" t="s">
        <v>2415</v>
      </c>
      <c r="H622" s="1">
        <v>5</v>
      </c>
      <c r="I622" s="1" t="s">
        <v>991</v>
      </c>
      <c r="J622" s="1">
        <v>1.5</v>
      </c>
      <c r="K622" s="1" t="s">
        <v>601</v>
      </c>
      <c r="L622" s="1" t="s">
        <v>93</v>
      </c>
      <c r="M622" s="1" t="s">
        <v>94</v>
      </c>
      <c r="N622" s="1" t="s">
        <v>72</v>
      </c>
      <c r="O622" s="1" t="s">
        <v>64</v>
      </c>
      <c r="P622" s="1" t="s">
        <v>95</v>
      </c>
      <c r="R622" s="93">
        <v>43174</v>
      </c>
      <c r="S622" s="93" t="s">
        <v>2733</v>
      </c>
    </row>
    <row r="623" spans="1:19">
      <c r="A623" s="92">
        <v>43174</v>
      </c>
      <c r="C623" s="1" t="s">
        <v>56</v>
      </c>
      <c r="E623" s="98" t="s">
        <v>998</v>
      </c>
      <c r="F623" s="1" t="s">
        <v>999</v>
      </c>
      <c r="G623" s="1" t="s">
        <v>2416</v>
      </c>
      <c r="H623" s="1">
        <v>0.54</v>
      </c>
      <c r="I623" s="1" t="s">
        <v>991</v>
      </c>
      <c r="J623" s="1">
        <v>0.16200000000000001</v>
      </c>
      <c r="K623" s="1" t="s">
        <v>175</v>
      </c>
      <c r="L623" s="1" t="s">
        <v>131</v>
      </c>
      <c r="M623" s="1" t="s">
        <v>132</v>
      </c>
      <c r="N623" s="1" t="s">
        <v>72</v>
      </c>
      <c r="O623" s="1" t="s">
        <v>64</v>
      </c>
      <c r="P623" s="1" t="s">
        <v>133</v>
      </c>
      <c r="R623" s="93">
        <v>43174</v>
      </c>
      <c r="S623" s="93" t="s">
        <v>2733</v>
      </c>
    </row>
    <row r="624" spans="1:19">
      <c r="A624" s="92">
        <v>43174</v>
      </c>
      <c r="C624" s="1" t="s">
        <v>56</v>
      </c>
      <c r="E624" s="98" t="s">
        <v>410</v>
      </c>
      <c r="F624" s="1" t="s">
        <v>411</v>
      </c>
      <c r="G624" s="1" t="s">
        <v>2189</v>
      </c>
      <c r="H624" s="1">
        <v>1</v>
      </c>
      <c r="I624" s="1" t="s">
        <v>991</v>
      </c>
      <c r="J624" s="1">
        <v>0.3</v>
      </c>
      <c r="K624" s="1" t="s">
        <v>70</v>
      </c>
      <c r="L624" s="1" t="s">
        <v>70</v>
      </c>
      <c r="M624" s="1" t="s">
        <v>71</v>
      </c>
      <c r="N624" s="1" t="s">
        <v>72</v>
      </c>
      <c r="O624" s="1" t="s">
        <v>64</v>
      </c>
      <c r="P624" s="1" t="s">
        <v>73</v>
      </c>
      <c r="R624" s="93">
        <v>43174</v>
      </c>
      <c r="S624" s="93" t="s">
        <v>2733</v>
      </c>
    </row>
    <row r="625" spans="1:19">
      <c r="A625" s="92">
        <v>43174</v>
      </c>
      <c r="C625" s="1" t="s">
        <v>66</v>
      </c>
      <c r="E625" s="98" t="s">
        <v>1000</v>
      </c>
      <c r="F625" s="1" t="s">
        <v>1001</v>
      </c>
      <c r="G625" s="1" t="s">
        <v>2417</v>
      </c>
      <c r="H625" s="1">
        <v>8</v>
      </c>
      <c r="I625" s="1" t="s">
        <v>991</v>
      </c>
      <c r="J625" s="1">
        <v>2.4</v>
      </c>
      <c r="K625" s="1" t="s">
        <v>601</v>
      </c>
      <c r="L625" s="1" t="s">
        <v>93</v>
      </c>
      <c r="M625" s="1" t="s">
        <v>94</v>
      </c>
      <c r="N625" s="1" t="s">
        <v>72</v>
      </c>
      <c r="O625" s="1" t="s">
        <v>64</v>
      </c>
      <c r="P625" s="1" t="s">
        <v>95</v>
      </c>
      <c r="R625" s="93">
        <v>43174</v>
      </c>
      <c r="S625" s="93" t="s">
        <v>2733</v>
      </c>
    </row>
    <row r="626" spans="1:19">
      <c r="A626" s="92">
        <v>43174</v>
      </c>
      <c r="C626" s="1" t="s">
        <v>56</v>
      </c>
      <c r="E626" s="98" t="s">
        <v>1002</v>
      </c>
      <c r="F626" s="1" t="s">
        <v>1003</v>
      </c>
      <c r="G626" s="1" t="s">
        <v>2012</v>
      </c>
      <c r="H626" s="1">
        <v>0.83</v>
      </c>
      <c r="I626" s="1" t="s">
        <v>991</v>
      </c>
      <c r="J626" s="1">
        <v>0.249</v>
      </c>
      <c r="K626" s="1" t="s">
        <v>584</v>
      </c>
      <c r="L626" s="1" t="s">
        <v>216</v>
      </c>
      <c r="M626" s="1" t="s">
        <v>52</v>
      </c>
      <c r="N626" s="1" t="s">
        <v>63</v>
      </c>
      <c r="O626" s="1" t="s">
        <v>64</v>
      </c>
      <c r="P626" s="1" t="s">
        <v>111</v>
      </c>
      <c r="R626" s="93">
        <v>43174</v>
      </c>
      <c r="S626" s="93" t="s">
        <v>2733</v>
      </c>
    </row>
    <row r="627" spans="1:19">
      <c r="A627" s="92">
        <v>43174</v>
      </c>
      <c r="C627" s="1" t="s">
        <v>56</v>
      </c>
      <c r="E627" s="98" t="s">
        <v>1004</v>
      </c>
      <c r="F627" s="1" t="s">
        <v>1005</v>
      </c>
      <c r="G627" s="1" t="s">
        <v>2418</v>
      </c>
      <c r="H627" s="1">
        <v>1.61</v>
      </c>
      <c r="I627" s="1" t="s">
        <v>991</v>
      </c>
      <c r="J627" s="1">
        <v>0.48299999999999998</v>
      </c>
      <c r="K627" s="1" t="s">
        <v>416</v>
      </c>
      <c r="L627" s="1" t="s">
        <v>193</v>
      </c>
      <c r="M627" s="1" t="s">
        <v>62</v>
      </c>
      <c r="N627" s="1" t="s">
        <v>63</v>
      </c>
      <c r="O627" s="1" t="s">
        <v>64</v>
      </c>
      <c r="P627" s="1" t="s">
        <v>65</v>
      </c>
      <c r="R627" s="93">
        <v>43174</v>
      </c>
      <c r="S627" s="93" t="s">
        <v>2733</v>
      </c>
    </row>
    <row r="628" spans="1:19">
      <c r="A628" s="92">
        <v>43174</v>
      </c>
      <c r="C628" s="1" t="s">
        <v>56</v>
      </c>
      <c r="E628" s="98" t="s">
        <v>1006</v>
      </c>
      <c r="F628" s="1" t="s">
        <v>234</v>
      </c>
      <c r="G628" s="1" t="s">
        <v>2419</v>
      </c>
      <c r="H628" s="1">
        <v>10</v>
      </c>
      <c r="I628" s="1" t="s">
        <v>991</v>
      </c>
      <c r="J628" s="1">
        <v>3</v>
      </c>
      <c r="K628" s="1" t="s">
        <v>234</v>
      </c>
      <c r="L628" s="1" t="s">
        <v>131</v>
      </c>
      <c r="M628" s="1" t="s">
        <v>132</v>
      </c>
      <c r="N628" s="1" t="s">
        <v>72</v>
      </c>
      <c r="O628" s="1" t="s">
        <v>64</v>
      </c>
      <c r="P628" s="1" t="s">
        <v>133</v>
      </c>
      <c r="R628" s="93">
        <v>43174</v>
      </c>
      <c r="S628" s="93" t="s">
        <v>2733</v>
      </c>
    </row>
    <row r="629" spans="1:19">
      <c r="A629" s="92">
        <v>43174</v>
      </c>
      <c r="C629" s="1" t="s">
        <v>56</v>
      </c>
      <c r="E629" s="98" t="s">
        <v>1009</v>
      </c>
      <c r="F629" s="1" t="s">
        <v>1010</v>
      </c>
      <c r="G629" s="1" t="s">
        <v>2420</v>
      </c>
      <c r="H629" s="1">
        <v>1</v>
      </c>
      <c r="I629" s="1" t="s">
        <v>991</v>
      </c>
      <c r="J629" s="1">
        <v>0.3</v>
      </c>
      <c r="K629" s="1" t="s">
        <v>653</v>
      </c>
      <c r="L629" s="1" t="s">
        <v>253</v>
      </c>
      <c r="M629" s="1" t="s">
        <v>94</v>
      </c>
      <c r="N629" s="1" t="s">
        <v>72</v>
      </c>
      <c r="O629" s="1" t="s">
        <v>64</v>
      </c>
      <c r="P629" s="1" t="s">
        <v>95</v>
      </c>
      <c r="R629" s="93">
        <v>43174</v>
      </c>
      <c r="S629" s="93" t="s">
        <v>2733</v>
      </c>
    </row>
    <row r="630" spans="1:19">
      <c r="A630" s="92">
        <v>43174</v>
      </c>
      <c r="C630" s="1" t="s">
        <v>56</v>
      </c>
      <c r="E630" s="98" t="s">
        <v>1009</v>
      </c>
      <c r="F630" s="1" t="s">
        <v>1010</v>
      </c>
      <c r="G630" s="1" t="s">
        <v>2420</v>
      </c>
      <c r="H630" s="1">
        <v>1</v>
      </c>
      <c r="I630" s="1" t="s">
        <v>991</v>
      </c>
      <c r="J630" s="1">
        <v>0.3</v>
      </c>
      <c r="K630" s="1" t="s">
        <v>653</v>
      </c>
      <c r="L630" s="1" t="s">
        <v>253</v>
      </c>
      <c r="M630" s="1" t="s">
        <v>94</v>
      </c>
      <c r="N630" s="1" t="s">
        <v>72</v>
      </c>
      <c r="O630" s="1" t="s">
        <v>64</v>
      </c>
      <c r="P630" s="1" t="s">
        <v>95</v>
      </c>
      <c r="R630" s="93">
        <v>43174</v>
      </c>
      <c r="S630" s="93" t="s">
        <v>2733</v>
      </c>
    </row>
    <row r="631" spans="1:19">
      <c r="A631" s="92">
        <v>43175</v>
      </c>
      <c r="C631" s="1" t="s">
        <v>56</v>
      </c>
      <c r="E631" s="98" t="s">
        <v>900</v>
      </c>
      <c r="F631" s="1" t="s">
        <v>901</v>
      </c>
      <c r="G631" s="1" t="s">
        <v>2377</v>
      </c>
      <c r="H631" s="1">
        <v>2.0299999999999998</v>
      </c>
      <c r="I631" s="1" t="s">
        <v>991</v>
      </c>
      <c r="J631" s="1">
        <v>0.60899999999999999</v>
      </c>
      <c r="K631" s="1" t="s">
        <v>902</v>
      </c>
      <c r="L631" s="1" t="s">
        <v>93</v>
      </c>
      <c r="M631" s="1" t="s">
        <v>94</v>
      </c>
      <c r="N631" s="1" t="s">
        <v>72</v>
      </c>
      <c r="O631" s="1" t="s">
        <v>64</v>
      </c>
      <c r="P631" s="1" t="s">
        <v>95</v>
      </c>
      <c r="R631" s="93">
        <v>43175</v>
      </c>
      <c r="S631" s="93" t="s">
        <v>2733</v>
      </c>
    </row>
    <row r="632" spans="1:19">
      <c r="A632" s="92">
        <v>43175</v>
      </c>
      <c r="C632" s="1" t="s">
        <v>56</v>
      </c>
      <c r="E632" s="98" t="s">
        <v>1011</v>
      </c>
      <c r="F632" s="1" t="s">
        <v>1012</v>
      </c>
      <c r="G632" s="1" t="s">
        <v>2421</v>
      </c>
      <c r="H632" s="1">
        <v>2.56</v>
      </c>
      <c r="I632" s="1" t="s">
        <v>991</v>
      </c>
      <c r="J632" s="1">
        <v>0.76800000000000002</v>
      </c>
      <c r="K632" s="1" t="s">
        <v>167</v>
      </c>
      <c r="L632" s="1" t="s">
        <v>117</v>
      </c>
      <c r="M632" s="1" t="s">
        <v>2661</v>
      </c>
      <c r="N632" s="1" t="s">
        <v>72</v>
      </c>
      <c r="O632" s="1" t="s">
        <v>64</v>
      </c>
      <c r="P632" s="1" t="s">
        <v>53</v>
      </c>
      <c r="R632" s="93">
        <v>43175</v>
      </c>
      <c r="S632" s="93" t="s">
        <v>2733</v>
      </c>
    </row>
    <row r="633" spans="1:19">
      <c r="A633" s="92">
        <v>43175</v>
      </c>
      <c r="C633" s="1" t="s">
        <v>56</v>
      </c>
      <c r="E633" s="98" t="s">
        <v>1013</v>
      </c>
      <c r="F633" s="1" t="s">
        <v>1014</v>
      </c>
      <c r="G633" s="1" t="s">
        <v>2422</v>
      </c>
      <c r="H633" s="1">
        <v>1</v>
      </c>
      <c r="I633" s="1" t="s">
        <v>991</v>
      </c>
      <c r="J633" s="1">
        <v>0.3</v>
      </c>
      <c r="K633" s="1" t="s">
        <v>619</v>
      </c>
      <c r="L633" s="1" t="s">
        <v>269</v>
      </c>
      <c r="M633" s="1" t="s">
        <v>132</v>
      </c>
      <c r="N633" s="1" t="s">
        <v>72</v>
      </c>
      <c r="O633" s="1" t="s">
        <v>64</v>
      </c>
      <c r="P633" s="1" t="s">
        <v>133</v>
      </c>
      <c r="R633" s="93">
        <v>43175</v>
      </c>
      <c r="S633" s="93" t="s">
        <v>2733</v>
      </c>
    </row>
    <row r="634" spans="1:19">
      <c r="A634" s="92">
        <v>43175</v>
      </c>
      <c r="C634" s="1" t="s">
        <v>56</v>
      </c>
      <c r="E634" s="98" t="s">
        <v>1015</v>
      </c>
      <c r="F634" s="1" t="s">
        <v>1016</v>
      </c>
      <c r="G634" s="1" t="s">
        <v>2423</v>
      </c>
      <c r="H634" s="1">
        <v>10</v>
      </c>
      <c r="I634" s="1" t="s">
        <v>991</v>
      </c>
      <c r="J634" s="1">
        <v>3</v>
      </c>
      <c r="K634" s="1" t="s">
        <v>175</v>
      </c>
      <c r="L634" s="1" t="s">
        <v>131</v>
      </c>
      <c r="M634" s="1" t="s">
        <v>132</v>
      </c>
      <c r="N634" s="1" t="s">
        <v>72</v>
      </c>
      <c r="O634" s="1" t="s">
        <v>64</v>
      </c>
      <c r="P634" s="1" t="s">
        <v>133</v>
      </c>
      <c r="R634" s="93">
        <v>43175</v>
      </c>
      <c r="S634" s="93" t="s">
        <v>2733</v>
      </c>
    </row>
    <row r="635" spans="1:19">
      <c r="A635" s="92">
        <v>43175</v>
      </c>
      <c r="C635" s="1" t="s">
        <v>56</v>
      </c>
      <c r="E635" s="98" t="s">
        <v>1017</v>
      </c>
      <c r="F635" s="1" t="s">
        <v>1018</v>
      </c>
      <c r="G635" s="1" t="s">
        <v>2424</v>
      </c>
      <c r="H635" s="1">
        <v>5</v>
      </c>
      <c r="I635" s="1" t="s">
        <v>1019</v>
      </c>
      <c r="J635" s="1">
        <v>1.5</v>
      </c>
      <c r="K635" s="1" t="s">
        <v>70</v>
      </c>
      <c r="L635" s="1" t="s">
        <v>70</v>
      </c>
      <c r="M635" s="1" t="s">
        <v>71</v>
      </c>
      <c r="N635" s="1" t="s">
        <v>72</v>
      </c>
      <c r="O635" s="1" t="s">
        <v>64</v>
      </c>
      <c r="P635" s="1" t="s">
        <v>73</v>
      </c>
      <c r="R635" s="93">
        <v>43175</v>
      </c>
      <c r="S635" s="93" t="s">
        <v>2733</v>
      </c>
    </row>
    <row r="636" spans="1:19">
      <c r="A636" s="92">
        <v>43175</v>
      </c>
      <c r="C636" s="1" t="s">
        <v>56</v>
      </c>
      <c r="E636" s="98" t="s">
        <v>1021</v>
      </c>
      <c r="F636" s="1" t="s">
        <v>1022</v>
      </c>
      <c r="G636" s="1" t="s">
        <v>2425</v>
      </c>
      <c r="H636" s="1">
        <v>5.0999999999999996</v>
      </c>
      <c r="I636" s="1" t="s">
        <v>1019</v>
      </c>
      <c r="J636" s="1">
        <v>1.53</v>
      </c>
      <c r="K636" s="1" t="s">
        <v>1023</v>
      </c>
      <c r="L636" s="1" t="s">
        <v>110</v>
      </c>
      <c r="M636" s="1" t="s">
        <v>52</v>
      </c>
      <c r="N636" s="1" t="s">
        <v>63</v>
      </c>
      <c r="O636" s="1" t="s">
        <v>64</v>
      </c>
      <c r="P636" s="1" t="s">
        <v>111</v>
      </c>
      <c r="R636" s="93">
        <v>43175</v>
      </c>
      <c r="S636" s="93" t="s">
        <v>2733</v>
      </c>
    </row>
    <row r="637" spans="1:19">
      <c r="A637" s="92">
        <v>43175</v>
      </c>
      <c r="C637" s="1" t="s">
        <v>56</v>
      </c>
      <c r="E637" s="98" t="s">
        <v>1021</v>
      </c>
      <c r="F637" s="1" t="s">
        <v>1022</v>
      </c>
      <c r="G637" s="1" t="s">
        <v>2425</v>
      </c>
      <c r="H637" s="1">
        <v>5</v>
      </c>
      <c r="I637" s="1" t="s">
        <v>1019</v>
      </c>
      <c r="J637" s="1">
        <v>1.5</v>
      </c>
      <c r="K637" s="1" t="s">
        <v>1023</v>
      </c>
      <c r="L637" s="1" t="s">
        <v>110</v>
      </c>
      <c r="M637" s="1" t="s">
        <v>52</v>
      </c>
      <c r="N637" s="1" t="s">
        <v>63</v>
      </c>
      <c r="O637" s="1" t="s">
        <v>64</v>
      </c>
      <c r="P637" s="1" t="s">
        <v>111</v>
      </c>
      <c r="R637" s="93">
        <v>43175</v>
      </c>
      <c r="S637" s="93" t="s">
        <v>2733</v>
      </c>
    </row>
    <row r="638" spans="1:19">
      <c r="A638" s="92">
        <v>43175</v>
      </c>
      <c r="C638" s="1" t="s">
        <v>56</v>
      </c>
      <c r="E638" s="98" t="s">
        <v>756</v>
      </c>
      <c r="F638" s="1" t="s">
        <v>757</v>
      </c>
      <c r="G638" s="1" t="s">
        <v>2322</v>
      </c>
      <c r="H638" s="1">
        <v>1</v>
      </c>
      <c r="I638" s="1" t="s">
        <v>1019</v>
      </c>
      <c r="J638" s="1">
        <v>0.3</v>
      </c>
      <c r="K638" s="1" t="s">
        <v>291</v>
      </c>
      <c r="L638" s="1" t="s">
        <v>85</v>
      </c>
      <c r="M638" s="1" t="s">
        <v>71</v>
      </c>
      <c r="N638" s="1" t="s">
        <v>72</v>
      </c>
      <c r="O638" s="1" t="s">
        <v>64</v>
      </c>
      <c r="P638" s="1" t="s">
        <v>73</v>
      </c>
      <c r="R638" s="93">
        <v>43175</v>
      </c>
      <c r="S638" s="93" t="s">
        <v>2733</v>
      </c>
    </row>
    <row r="639" spans="1:19">
      <c r="A639" s="92">
        <v>43175</v>
      </c>
      <c r="C639" s="1" t="s">
        <v>56</v>
      </c>
      <c r="E639" s="98" t="s">
        <v>764</v>
      </c>
      <c r="F639" s="1" t="s">
        <v>765</v>
      </c>
      <c r="G639" s="1" t="s">
        <v>2325</v>
      </c>
      <c r="H639" s="1">
        <v>0.15</v>
      </c>
      <c r="I639" s="1" t="s">
        <v>1019</v>
      </c>
      <c r="J639" s="1">
        <v>4.4999999999999998E-2</v>
      </c>
      <c r="K639" s="1" t="s">
        <v>144</v>
      </c>
      <c r="L639" s="1" t="s">
        <v>93</v>
      </c>
      <c r="M639" s="1" t="s">
        <v>94</v>
      </c>
      <c r="N639" s="1" t="s">
        <v>72</v>
      </c>
      <c r="O639" s="1" t="s">
        <v>64</v>
      </c>
      <c r="P639" s="1" t="s">
        <v>95</v>
      </c>
      <c r="R639" s="93">
        <v>43175</v>
      </c>
      <c r="S639" s="93" t="s">
        <v>2733</v>
      </c>
    </row>
    <row r="640" spans="1:19">
      <c r="A640" s="92">
        <v>43175</v>
      </c>
      <c r="C640" s="1" t="s">
        <v>56</v>
      </c>
      <c r="E640" s="98" t="s">
        <v>1024</v>
      </c>
      <c r="F640" s="1" t="s">
        <v>1025</v>
      </c>
      <c r="G640" s="1" t="s">
        <v>2426</v>
      </c>
      <c r="H640" s="1">
        <v>0.5</v>
      </c>
      <c r="I640" s="1" t="s">
        <v>1019</v>
      </c>
      <c r="J640" s="1">
        <v>0.15</v>
      </c>
      <c r="K640" s="1" t="s">
        <v>563</v>
      </c>
      <c r="L640" s="1" t="s">
        <v>281</v>
      </c>
      <c r="M640" s="1" t="s">
        <v>71</v>
      </c>
      <c r="N640" s="1" t="s">
        <v>72</v>
      </c>
      <c r="O640" s="1" t="s">
        <v>64</v>
      </c>
      <c r="P640" s="1" t="s">
        <v>73</v>
      </c>
      <c r="R640" s="93">
        <v>43175</v>
      </c>
      <c r="S640" s="93" t="s">
        <v>2733</v>
      </c>
    </row>
    <row r="641" spans="1:19">
      <c r="A641" s="92">
        <v>43175</v>
      </c>
      <c r="C641" s="1" t="s">
        <v>66</v>
      </c>
      <c r="E641" s="98" t="s">
        <v>1028</v>
      </c>
      <c r="F641" s="1" t="s">
        <v>1029</v>
      </c>
      <c r="G641" s="1" t="s">
        <v>2427</v>
      </c>
      <c r="H641" s="1">
        <v>0.8</v>
      </c>
      <c r="I641" s="1" t="s">
        <v>1019</v>
      </c>
      <c r="J641" s="1">
        <v>0.24</v>
      </c>
      <c r="K641" s="1" t="s">
        <v>242</v>
      </c>
      <c r="L641" s="1" t="s">
        <v>93</v>
      </c>
      <c r="M641" s="1" t="s">
        <v>94</v>
      </c>
      <c r="N641" s="1" t="s">
        <v>72</v>
      </c>
      <c r="O641" s="1" t="s">
        <v>64</v>
      </c>
      <c r="P641" s="1" t="s">
        <v>95</v>
      </c>
      <c r="R641" s="93">
        <v>43175</v>
      </c>
      <c r="S641" s="93" t="s">
        <v>2733</v>
      </c>
    </row>
    <row r="642" spans="1:19">
      <c r="A642" s="92">
        <v>43175</v>
      </c>
      <c r="C642" s="1" t="s">
        <v>56</v>
      </c>
      <c r="E642" s="98" t="s">
        <v>792</v>
      </c>
      <c r="F642" s="1" t="s">
        <v>793</v>
      </c>
      <c r="G642" s="1" t="s">
        <v>2335</v>
      </c>
      <c r="H642" s="1">
        <v>2</v>
      </c>
      <c r="I642" s="1" t="s">
        <v>1019</v>
      </c>
      <c r="J642" s="1">
        <v>0.6</v>
      </c>
      <c r="K642" s="1" t="s">
        <v>167</v>
      </c>
      <c r="L642" s="1" t="s">
        <v>117</v>
      </c>
      <c r="M642" s="1" t="s">
        <v>2661</v>
      </c>
      <c r="N642" s="1" t="s">
        <v>72</v>
      </c>
      <c r="O642" s="1" t="s">
        <v>64</v>
      </c>
      <c r="P642" s="1" t="s">
        <v>53</v>
      </c>
      <c r="R642" s="93">
        <v>43175</v>
      </c>
      <c r="S642" s="93" t="s">
        <v>2733</v>
      </c>
    </row>
    <row r="643" spans="1:19">
      <c r="A643" s="92">
        <v>43175</v>
      </c>
      <c r="C643" s="1" t="s">
        <v>56</v>
      </c>
      <c r="E643" s="98" t="s">
        <v>1034</v>
      </c>
      <c r="F643" s="1" t="s">
        <v>1035</v>
      </c>
      <c r="G643" s="1" t="s">
        <v>2428</v>
      </c>
      <c r="H643" s="1">
        <v>6</v>
      </c>
      <c r="I643" s="1" t="s">
        <v>1036</v>
      </c>
      <c r="J643" s="1">
        <v>6</v>
      </c>
      <c r="K643" s="1" t="s">
        <v>167</v>
      </c>
      <c r="L643" s="1" t="s">
        <v>117</v>
      </c>
      <c r="M643" s="1" t="s">
        <v>2661</v>
      </c>
      <c r="N643" s="1" t="s">
        <v>72</v>
      </c>
      <c r="O643" s="1" t="s">
        <v>64</v>
      </c>
      <c r="P643" s="1" t="s">
        <v>53</v>
      </c>
      <c r="R643" s="93">
        <v>43175</v>
      </c>
      <c r="S643" s="93" t="s">
        <v>2731</v>
      </c>
    </row>
    <row r="644" spans="1:19">
      <c r="A644" s="92">
        <v>43175</v>
      </c>
      <c r="C644" s="1" t="s">
        <v>56</v>
      </c>
      <c r="E644" s="98" t="s">
        <v>1037</v>
      </c>
      <c r="F644" s="1" t="s">
        <v>1038</v>
      </c>
      <c r="G644" s="1" t="s">
        <v>2429</v>
      </c>
      <c r="H644" s="1">
        <v>5.0006849999999998</v>
      </c>
      <c r="I644" s="1" t="s">
        <v>1036</v>
      </c>
      <c r="J644" s="1">
        <v>5.0006849999999998</v>
      </c>
      <c r="K644" s="1" t="s">
        <v>136</v>
      </c>
      <c r="L644" s="1" t="s">
        <v>85</v>
      </c>
      <c r="M644" s="1" t="s">
        <v>71</v>
      </c>
      <c r="N644" s="1" t="s">
        <v>72</v>
      </c>
      <c r="O644" s="1" t="s">
        <v>64</v>
      </c>
      <c r="P644" s="1" t="s">
        <v>73</v>
      </c>
      <c r="R644" s="93">
        <v>43175</v>
      </c>
      <c r="S644" s="93" t="s">
        <v>2731</v>
      </c>
    </row>
    <row r="645" spans="1:19">
      <c r="A645" s="92">
        <v>43175</v>
      </c>
      <c r="C645" s="1" t="s">
        <v>56</v>
      </c>
      <c r="E645" s="98" t="s">
        <v>1039</v>
      </c>
      <c r="F645" s="1" t="s">
        <v>1040</v>
      </c>
      <c r="G645" s="1" t="s">
        <v>2430</v>
      </c>
      <c r="H645" s="1">
        <v>3.1</v>
      </c>
      <c r="I645" s="1" t="s">
        <v>1041</v>
      </c>
      <c r="J645" s="1">
        <v>1.86</v>
      </c>
      <c r="K645" s="1" t="s">
        <v>175</v>
      </c>
      <c r="L645" s="1" t="s">
        <v>131</v>
      </c>
      <c r="M645" s="1" t="s">
        <v>132</v>
      </c>
      <c r="N645" s="1" t="s">
        <v>72</v>
      </c>
      <c r="O645" s="1" t="s">
        <v>64</v>
      </c>
      <c r="P645" s="1" t="s">
        <v>133</v>
      </c>
      <c r="R645" s="93">
        <v>43175</v>
      </c>
      <c r="S645" s="93" t="s">
        <v>2732</v>
      </c>
    </row>
    <row r="646" spans="1:19">
      <c r="A646" s="92">
        <v>43175</v>
      </c>
      <c r="C646" s="1" t="s">
        <v>66</v>
      </c>
      <c r="E646" s="98" t="s">
        <v>984</v>
      </c>
      <c r="F646" s="1" t="s">
        <v>985</v>
      </c>
      <c r="G646" s="1" t="s">
        <v>2411</v>
      </c>
      <c r="H646" s="1">
        <v>10</v>
      </c>
      <c r="I646" s="1" t="s">
        <v>1041</v>
      </c>
      <c r="J646" s="1">
        <v>6</v>
      </c>
      <c r="K646" s="1" t="s">
        <v>353</v>
      </c>
      <c r="L646" s="1" t="s">
        <v>281</v>
      </c>
      <c r="M646" s="1" t="s">
        <v>71</v>
      </c>
      <c r="N646" s="1" t="s">
        <v>72</v>
      </c>
      <c r="O646" s="1" t="s">
        <v>64</v>
      </c>
      <c r="P646" s="1" t="s">
        <v>73</v>
      </c>
      <c r="R646" s="93">
        <v>43175</v>
      </c>
      <c r="S646" s="93" t="s">
        <v>2732</v>
      </c>
    </row>
    <row r="647" spans="1:19">
      <c r="A647" s="92">
        <v>43175</v>
      </c>
      <c r="C647" s="1" t="s">
        <v>56</v>
      </c>
      <c r="E647" s="98" t="s">
        <v>1044</v>
      </c>
      <c r="F647" s="1" t="s">
        <v>1045</v>
      </c>
      <c r="G647" s="1" t="s">
        <v>2431</v>
      </c>
      <c r="H647" s="1">
        <v>1</v>
      </c>
      <c r="I647" s="1" t="s">
        <v>1046</v>
      </c>
      <c r="J647" s="1">
        <v>1</v>
      </c>
      <c r="K647" s="1" t="s">
        <v>175</v>
      </c>
      <c r="L647" s="1" t="s">
        <v>131</v>
      </c>
      <c r="M647" s="1" t="s">
        <v>132</v>
      </c>
      <c r="N647" s="1" t="s">
        <v>72</v>
      </c>
      <c r="O647" s="1" t="s">
        <v>64</v>
      </c>
      <c r="P647" s="1" t="s">
        <v>133</v>
      </c>
      <c r="R647" s="93">
        <v>43175</v>
      </c>
      <c r="S647" s="93" t="s">
        <v>2731</v>
      </c>
    </row>
    <row r="648" spans="1:19">
      <c r="A648" s="92">
        <v>43175</v>
      </c>
      <c r="C648" s="1" t="s">
        <v>56</v>
      </c>
      <c r="E648" s="98" t="s">
        <v>1047</v>
      </c>
      <c r="F648" s="1" t="s">
        <v>1048</v>
      </c>
      <c r="G648" s="1" t="s">
        <v>2432</v>
      </c>
      <c r="H648" s="1">
        <v>2</v>
      </c>
      <c r="I648" s="1" t="s">
        <v>1046</v>
      </c>
      <c r="J648" s="1">
        <v>2</v>
      </c>
      <c r="K648" s="1" t="s">
        <v>902</v>
      </c>
      <c r="L648" s="1" t="s">
        <v>93</v>
      </c>
      <c r="M648" s="1" t="s">
        <v>94</v>
      </c>
      <c r="N648" s="1" t="s">
        <v>72</v>
      </c>
      <c r="O648" s="1" t="s">
        <v>64</v>
      </c>
      <c r="P648" s="1" t="s">
        <v>95</v>
      </c>
      <c r="R648" s="93">
        <v>43175</v>
      </c>
      <c r="S648" s="93" t="s">
        <v>2731</v>
      </c>
    </row>
    <row r="649" spans="1:19">
      <c r="A649" s="92">
        <v>43175</v>
      </c>
      <c r="C649" s="1" t="s">
        <v>66</v>
      </c>
      <c r="E649" s="98" t="s">
        <v>1051</v>
      </c>
      <c r="F649" s="1" t="s">
        <v>1052</v>
      </c>
      <c r="G649" s="1" t="s">
        <v>2433</v>
      </c>
      <c r="H649" s="1">
        <v>20</v>
      </c>
      <c r="I649" s="1" t="s">
        <v>1046</v>
      </c>
      <c r="J649" s="1">
        <v>20</v>
      </c>
      <c r="K649" s="1" t="s">
        <v>716</v>
      </c>
      <c r="L649" s="1" t="s">
        <v>105</v>
      </c>
      <c r="M649" s="1" t="s">
        <v>62</v>
      </c>
      <c r="N649" s="1" t="s">
        <v>63</v>
      </c>
      <c r="O649" s="1" t="s">
        <v>64</v>
      </c>
      <c r="P649" s="1" t="s">
        <v>65</v>
      </c>
      <c r="R649" s="93">
        <v>43175</v>
      </c>
      <c r="S649" s="93" t="s">
        <v>2731</v>
      </c>
    </row>
    <row r="650" spans="1:19">
      <c r="A650" s="92">
        <v>43175</v>
      </c>
      <c r="C650" s="1" t="s">
        <v>56</v>
      </c>
      <c r="E650" s="98" t="s">
        <v>1053</v>
      </c>
      <c r="F650" s="1" t="s">
        <v>1054</v>
      </c>
      <c r="G650" s="1" t="s">
        <v>2434</v>
      </c>
      <c r="H650" s="1">
        <v>0.8</v>
      </c>
      <c r="I650" s="1" t="s">
        <v>1046</v>
      </c>
      <c r="J650" s="1">
        <v>0.8</v>
      </c>
      <c r="K650" s="1" t="s">
        <v>226</v>
      </c>
      <c r="L650" s="1" t="s">
        <v>117</v>
      </c>
      <c r="M650" s="1" t="s">
        <v>2661</v>
      </c>
      <c r="N650" s="1" t="s">
        <v>72</v>
      </c>
      <c r="O650" s="1" t="s">
        <v>64</v>
      </c>
      <c r="P650" s="1" t="s">
        <v>53</v>
      </c>
      <c r="R650" s="93">
        <v>43175</v>
      </c>
      <c r="S650" s="93" t="s">
        <v>2731</v>
      </c>
    </row>
    <row r="651" spans="1:19">
      <c r="A651" s="92">
        <v>43175</v>
      </c>
      <c r="C651" s="1" t="s">
        <v>56</v>
      </c>
      <c r="E651" s="98" t="s">
        <v>453</v>
      </c>
      <c r="F651" s="1" t="s">
        <v>454</v>
      </c>
      <c r="G651" s="1" t="s">
        <v>2205</v>
      </c>
      <c r="H651" s="1">
        <v>2.6</v>
      </c>
      <c r="I651" s="1" t="s">
        <v>1046</v>
      </c>
      <c r="J651" s="1">
        <v>2.6</v>
      </c>
      <c r="K651" s="1" t="s">
        <v>312</v>
      </c>
      <c r="L651" s="1" t="s">
        <v>117</v>
      </c>
      <c r="M651" s="1" t="s">
        <v>2661</v>
      </c>
      <c r="N651" s="1" t="s">
        <v>72</v>
      </c>
      <c r="O651" s="1" t="s">
        <v>64</v>
      </c>
      <c r="P651" s="1" t="s">
        <v>53</v>
      </c>
      <c r="R651" s="93">
        <v>43175</v>
      </c>
      <c r="S651" s="93" t="s">
        <v>2731</v>
      </c>
    </row>
    <row r="652" spans="1:19">
      <c r="A652" s="92">
        <v>43175</v>
      </c>
      <c r="C652" s="1" t="s">
        <v>56</v>
      </c>
      <c r="E652" s="98" t="s">
        <v>1055</v>
      </c>
      <c r="F652" s="1" t="s">
        <v>1056</v>
      </c>
      <c r="G652" s="1" t="s">
        <v>2435</v>
      </c>
      <c r="H652" s="1">
        <v>2.0002740000000001</v>
      </c>
      <c r="I652" s="1" t="s">
        <v>1046</v>
      </c>
      <c r="J652" s="1">
        <v>2.0002740000000001</v>
      </c>
      <c r="K652" s="1" t="s">
        <v>434</v>
      </c>
      <c r="L652" s="1" t="s">
        <v>269</v>
      </c>
      <c r="M652" s="1" t="s">
        <v>132</v>
      </c>
      <c r="N652" s="1" t="s">
        <v>72</v>
      </c>
      <c r="O652" s="1" t="s">
        <v>64</v>
      </c>
      <c r="P652" s="1" t="s">
        <v>133</v>
      </c>
      <c r="R652" s="93">
        <v>43175</v>
      </c>
      <c r="S652" s="93" t="s">
        <v>2731</v>
      </c>
    </row>
    <row r="653" spans="1:19">
      <c r="A653" s="92">
        <v>43175</v>
      </c>
      <c r="C653" s="1" t="s">
        <v>56</v>
      </c>
      <c r="E653" s="98" t="s">
        <v>388</v>
      </c>
      <c r="F653" s="1" t="s">
        <v>389</v>
      </c>
      <c r="G653" s="1" t="s">
        <v>2181</v>
      </c>
      <c r="H653" s="1">
        <v>16.95</v>
      </c>
      <c r="I653" s="1" t="s">
        <v>1046</v>
      </c>
      <c r="J653" s="1">
        <v>16.95</v>
      </c>
      <c r="K653" s="1" t="s">
        <v>269</v>
      </c>
      <c r="L653" s="1" t="s">
        <v>269</v>
      </c>
      <c r="M653" s="1" t="s">
        <v>132</v>
      </c>
      <c r="N653" s="1" t="s">
        <v>72</v>
      </c>
      <c r="O653" s="1" t="s">
        <v>64</v>
      </c>
      <c r="P653" s="1" t="s">
        <v>133</v>
      </c>
      <c r="R653" s="93">
        <v>43175</v>
      </c>
      <c r="S653" s="93" t="s">
        <v>2731</v>
      </c>
    </row>
    <row r="654" spans="1:19">
      <c r="A654" s="92">
        <v>43175</v>
      </c>
      <c r="C654" s="1" t="s">
        <v>56</v>
      </c>
      <c r="E654" s="98" t="s">
        <v>1057</v>
      </c>
      <c r="F654" s="1" t="s">
        <v>1058</v>
      </c>
      <c r="G654" s="1" t="s">
        <v>2436</v>
      </c>
      <c r="H654" s="1">
        <v>11.001505999999999</v>
      </c>
      <c r="I654" s="1" t="s">
        <v>1046</v>
      </c>
      <c r="J654" s="1">
        <v>11.001505999999999</v>
      </c>
      <c r="K654" s="1" t="s">
        <v>149</v>
      </c>
      <c r="L654" s="1" t="s">
        <v>150</v>
      </c>
      <c r="M654" s="1" t="s">
        <v>132</v>
      </c>
      <c r="N654" s="1" t="s">
        <v>72</v>
      </c>
      <c r="O654" s="1" t="s">
        <v>64</v>
      </c>
      <c r="P654" s="1" t="s">
        <v>133</v>
      </c>
      <c r="R654" s="93">
        <v>43175</v>
      </c>
      <c r="S654" s="93" t="s">
        <v>2731</v>
      </c>
    </row>
    <row r="655" spans="1:19">
      <c r="A655" s="92">
        <v>43175</v>
      </c>
      <c r="C655" s="1" t="s">
        <v>56</v>
      </c>
      <c r="E655" s="98" t="s">
        <v>964</v>
      </c>
      <c r="F655" s="1" t="s">
        <v>965</v>
      </c>
      <c r="G655" s="1" t="s">
        <v>2402</v>
      </c>
      <c r="H655" s="1">
        <v>15</v>
      </c>
      <c r="I655" s="1" t="s">
        <v>1046</v>
      </c>
      <c r="J655" s="1">
        <v>15</v>
      </c>
      <c r="K655" s="1" t="s">
        <v>70</v>
      </c>
      <c r="L655" s="1" t="s">
        <v>70</v>
      </c>
      <c r="M655" s="1" t="s">
        <v>71</v>
      </c>
      <c r="N655" s="1" t="s">
        <v>72</v>
      </c>
      <c r="O655" s="1" t="s">
        <v>64</v>
      </c>
      <c r="P655" s="1" t="s">
        <v>73</v>
      </c>
      <c r="R655" s="93">
        <v>43175</v>
      </c>
      <c r="S655" s="93" t="s">
        <v>2731</v>
      </c>
    </row>
    <row r="656" spans="1:19">
      <c r="A656" s="92">
        <v>43175</v>
      </c>
      <c r="C656" s="1" t="s">
        <v>56</v>
      </c>
      <c r="E656" s="98" t="s">
        <v>1059</v>
      </c>
      <c r="F656" s="1" t="s">
        <v>1060</v>
      </c>
      <c r="G656" s="1" t="s">
        <v>2437</v>
      </c>
      <c r="H656" s="1">
        <v>11.6</v>
      </c>
      <c r="I656" s="1" t="s">
        <v>1061</v>
      </c>
      <c r="J656" s="1">
        <v>11.6</v>
      </c>
      <c r="K656" s="1" t="s">
        <v>312</v>
      </c>
      <c r="L656" s="1" t="s">
        <v>117</v>
      </c>
      <c r="M656" s="1" t="s">
        <v>2661</v>
      </c>
      <c r="N656" s="1" t="s">
        <v>72</v>
      </c>
      <c r="O656" s="1" t="s">
        <v>64</v>
      </c>
      <c r="P656" s="1" t="s">
        <v>53</v>
      </c>
      <c r="R656" s="93">
        <v>43175</v>
      </c>
      <c r="S656" s="93" t="s">
        <v>2734</v>
      </c>
    </row>
    <row r="657" spans="1:19">
      <c r="A657" s="92">
        <v>43175</v>
      </c>
      <c r="C657" s="1" t="s">
        <v>56</v>
      </c>
      <c r="E657" s="98" t="s">
        <v>1064</v>
      </c>
      <c r="F657" s="1" t="s">
        <v>1065</v>
      </c>
      <c r="G657" s="1" t="s">
        <v>2438</v>
      </c>
      <c r="H657" s="1">
        <v>2</v>
      </c>
      <c r="I657" s="1" t="s">
        <v>1061</v>
      </c>
      <c r="J657" s="1">
        <v>2</v>
      </c>
      <c r="K657" s="1" t="s">
        <v>667</v>
      </c>
      <c r="L657" s="1" t="s">
        <v>61</v>
      </c>
      <c r="M657" s="1" t="s">
        <v>62</v>
      </c>
      <c r="N657" s="1" t="s">
        <v>63</v>
      </c>
      <c r="O657" s="1" t="s">
        <v>64</v>
      </c>
      <c r="P657" s="1" t="s">
        <v>65</v>
      </c>
      <c r="R657" s="93">
        <v>43175</v>
      </c>
      <c r="S657" s="93" t="s">
        <v>2734</v>
      </c>
    </row>
    <row r="658" spans="1:19">
      <c r="A658" s="92">
        <v>43175</v>
      </c>
      <c r="C658" s="1" t="s">
        <v>66</v>
      </c>
      <c r="E658" s="98" t="s">
        <v>1066</v>
      </c>
      <c r="F658" s="1" t="s">
        <v>1067</v>
      </c>
      <c r="G658" s="1" t="s">
        <v>2439</v>
      </c>
      <c r="H658" s="1">
        <v>1</v>
      </c>
      <c r="I658" s="1" t="s">
        <v>1061</v>
      </c>
      <c r="J658" s="1">
        <v>1</v>
      </c>
      <c r="K658" s="1" t="s">
        <v>149</v>
      </c>
      <c r="L658" s="1" t="s">
        <v>150</v>
      </c>
      <c r="M658" s="1" t="s">
        <v>132</v>
      </c>
      <c r="N658" s="1" t="s">
        <v>72</v>
      </c>
      <c r="O658" s="1" t="s">
        <v>64</v>
      </c>
      <c r="P658" s="1" t="s">
        <v>133</v>
      </c>
      <c r="R658" s="93">
        <v>43175</v>
      </c>
      <c r="S658" s="93" t="s">
        <v>2734</v>
      </c>
    </row>
    <row r="659" spans="1:19">
      <c r="A659" s="92">
        <v>43176</v>
      </c>
      <c r="C659" s="1" t="s">
        <v>56</v>
      </c>
      <c r="E659" s="98" t="s">
        <v>1068</v>
      </c>
      <c r="F659" s="1" t="s">
        <v>1069</v>
      </c>
      <c r="G659" s="1" t="s">
        <v>2440</v>
      </c>
      <c r="H659" s="1">
        <v>0.885216</v>
      </c>
      <c r="I659" s="1" t="s">
        <v>1061</v>
      </c>
      <c r="J659" s="1">
        <v>0.885216</v>
      </c>
      <c r="K659" s="1" t="s">
        <v>149</v>
      </c>
      <c r="L659" s="1" t="s">
        <v>150</v>
      </c>
      <c r="M659" s="1" t="s">
        <v>132</v>
      </c>
      <c r="N659" s="1" t="s">
        <v>72</v>
      </c>
      <c r="O659" s="1" t="s">
        <v>64</v>
      </c>
      <c r="P659" s="1" t="s">
        <v>133</v>
      </c>
      <c r="R659" s="93">
        <v>43176</v>
      </c>
      <c r="S659" s="93" t="s">
        <v>2734</v>
      </c>
    </row>
    <row r="660" spans="1:19">
      <c r="A660" s="92">
        <v>43176</v>
      </c>
      <c r="C660" s="1" t="s">
        <v>56</v>
      </c>
      <c r="E660" s="98" t="s">
        <v>608</v>
      </c>
      <c r="F660" s="1" t="s">
        <v>609</v>
      </c>
      <c r="G660" s="1" t="s">
        <v>2261</v>
      </c>
      <c r="H660" s="1">
        <v>1.1065209999999999</v>
      </c>
      <c r="I660" s="1" t="s">
        <v>1061</v>
      </c>
      <c r="J660" s="1">
        <v>1.1065209999999999</v>
      </c>
      <c r="K660" s="1" t="s">
        <v>114</v>
      </c>
      <c r="L660" s="1" t="s">
        <v>85</v>
      </c>
      <c r="M660" s="1" t="s">
        <v>71</v>
      </c>
      <c r="N660" s="1" t="s">
        <v>72</v>
      </c>
      <c r="O660" s="1" t="s">
        <v>64</v>
      </c>
      <c r="P660" s="1" t="s">
        <v>73</v>
      </c>
      <c r="R660" s="93">
        <v>43176</v>
      </c>
      <c r="S660" s="93" t="s">
        <v>2734</v>
      </c>
    </row>
    <row r="661" spans="1:19">
      <c r="A661" s="92">
        <v>43176</v>
      </c>
      <c r="C661" s="1" t="s">
        <v>56</v>
      </c>
      <c r="E661" s="98" t="s">
        <v>140</v>
      </c>
      <c r="F661" s="1" t="s">
        <v>141</v>
      </c>
      <c r="G661" s="1" t="s">
        <v>2099</v>
      </c>
      <c r="H661" s="1">
        <v>0.33195599999999997</v>
      </c>
      <c r="I661" s="1" t="s">
        <v>1061</v>
      </c>
      <c r="J661" s="1">
        <v>0.33195599999999997</v>
      </c>
      <c r="K661" s="1" t="s">
        <v>141</v>
      </c>
      <c r="L661" s="1" t="s">
        <v>131</v>
      </c>
      <c r="M661" s="1" t="s">
        <v>132</v>
      </c>
      <c r="N661" s="1" t="s">
        <v>72</v>
      </c>
      <c r="O661" s="1" t="s">
        <v>64</v>
      </c>
      <c r="P661" s="1" t="s">
        <v>133</v>
      </c>
      <c r="R661" s="93">
        <v>43176</v>
      </c>
      <c r="S661" s="93" t="s">
        <v>2734</v>
      </c>
    </row>
    <row r="662" spans="1:19">
      <c r="A662" s="92">
        <v>43176</v>
      </c>
      <c r="C662" s="1" t="s">
        <v>56</v>
      </c>
      <c r="E662" s="98" t="s">
        <v>1070</v>
      </c>
      <c r="F662" s="1" t="s">
        <v>1071</v>
      </c>
      <c r="G662" s="1" t="s">
        <v>2441</v>
      </c>
      <c r="H662" s="1">
        <v>11.065205000000001</v>
      </c>
      <c r="I662" s="1" t="s">
        <v>1061</v>
      </c>
      <c r="J662" s="1">
        <v>11.065205000000001</v>
      </c>
      <c r="K662" s="1" t="s">
        <v>312</v>
      </c>
      <c r="L662" s="1" t="s">
        <v>117</v>
      </c>
      <c r="M662" s="1" t="s">
        <v>2661</v>
      </c>
      <c r="N662" s="1" t="s">
        <v>72</v>
      </c>
      <c r="O662" s="1" t="s">
        <v>64</v>
      </c>
      <c r="P662" s="1" t="s">
        <v>53</v>
      </c>
      <c r="R662" s="93">
        <v>43176</v>
      </c>
      <c r="S662" s="93" t="s">
        <v>2734</v>
      </c>
    </row>
    <row r="663" spans="1:19">
      <c r="A663" s="92">
        <v>43176</v>
      </c>
      <c r="C663" s="1" t="s">
        <v>56</v>
      </c>
      <c r="E663" s="98" t="s">
        <v>1072</v>
      </c>
      <c r="F663" s="1" t="s">
        <v>1073</v>
      </c>
      <c r="G663" s="1" t="s">
        <v>2442</v>
      </c>
      <c r="H663" s="1">
        <v>3</v>
      </c>
      <c r="I663" s="1" t="s">
        <v>1061</v>
      </c>
      <c r="J663" s="1">
        <v>3</v>
      </c>
      <c r="K663" s="1" t="s">
        <v>353</v>
      </c>
      <c r="L663" s="1" t="s">
        <v>281</v>
      </c>
      <c r="M663" s="1" t="s">
        <v>71</v>
      </c>
      <c r="N663" s="1" t="s">
        <v>72</v>
      </c>
      <c r="O663" s="1" t="s">
        <v>64</v>
      </c>
      <c r="P663" s="1" t="s">
        <v>73</v>
      </c>
      <c r="R663" s="93">
        <v>43176</v>
      </c>
      <c r="S663" s="93" t="s">
        <v>2734</v>
      </c>
    </row>
    <row r="664" spans="1:19">
      <c r="A664" s="92">
        <v>43176</v>
      </c>
      <c r="C664" s="1" t="s">
        <v>56</v>
      </c>
      <c r="E664" s="98" t="s">
        <v>1076</v>
      </c>
      <c r="F664" s="1" t="s">
        <v>563</v>
      </c>
      <c r="G664" s="1" t="s">
        <v>2443</v>
      </c>
      <c r="H664" s="1">
        <v>0.5</v>
      </c>
      <c r="I664" s="1" t="s">
        <v>1061</v>
      </c>
      <c r="J664" s="1">
        <v>0.5</v>
      </c>
      <c r="K664" s="1" t="s">
        <v>563</v>
      </c>
      <c r="L664" s="1" t="s">
        <v>281</v>
      </c>
      <c r="M664" s="1" t="s">
        <v>71</v>
      </c>
      <c r="N664" s="1" t="s">
        <v>72</v>
      </c>
      <c r="O664" s="1" t="s">
        <v>64</v>
      </c>
      <c r="P664" s="1" t="s">
        <v>73</v>
      </c>
      <c r="R664" s="93">
        <v>43176</v>
      </c>
      <c r="S664" s="93" t="s">
        <v>2734</v>
      </c>
    </row>
    <row r="665" spans="1:19">
      <c r="A665" s="92">
        <v>43176</v>
      </c>
      <c r="C665" s="1" t="s">
        <v>56</v>
      </c>
      <c r="E665" s="98" t="s">
        <v>699</v>
      </c>
      <c r="F665" s="1" t="s">
        <v>700</v>
      </c>
      <c r="G665" s="1" t="s">
        <v>2298</v>
      </c>
      <c r="H665" s="1">
        <v>2</v>
      </c>
      <c r="I665" s="1" t="s">
        <v>1061</v>
      </c>
      <c r="J665" s="1">
        <v>2</v>
      </c>
      <c r="K665" s="1" t="s">
        <v>149</v>
      </c>
      <c r="L665" s="1" t="s">
        <v>150</v>
      </c>
      <c r="M665" s="1" t="s">
        <v>132</v>
      </c>
      <c r="N665" s="1" t="s">
        <v>72</v>
      </c>
      <c r="O665" s="1" t="s">
        <v>64</v>
      </c>
      <c r="P665" s="1" t="s">
        <v>133</v>
      </c>
      <c r="R665" s="93">
        <v>43176</v>
      </c>
      <c r="S665" s="93" t="s">
        <v>2734</v>
      </c>
    </row>
    <row r="666" spans="1:19">
      <c r="A666" s="92">
        <v>43176</v>
      </c>
      <c r="C666" s="1" t="s">
        <v>56</v>
      </c>
      <c r="E666" s="98" t="s">
        <v>1077</v>
      </c>
      <c r="F666" s="1" t="s">
        <v>1078</v>
      </c>
      <c r="G666" s="1" t="s">
        <v>2444</v>
      </c>
      <c r="H666" s="1">
        <v>2</v>
      </c>
      <c r="I666" s="1" t="s">
        <v>1061</v>
      </c>
      <c r="J666" s="1">
        <v>2</v>
      </c>
      <c r="K666" s="1" t="s">
        <v>496</v>
      </c>
      <c r="L666" s="1" t="s">
        <v>117</v>
      </c>
      <c r="M666" s="1" t="s">
        <v>2661</v>
      </c>
      <c r="N666" s="1" t="s">
        <v>72</v>
      </c>
      <c r="O666" s="1" t="s">
        <v>64</v>
      </c>
      <c r="P666" s="1" t="s">
        <v>53</v>
      </c>
      <c r="R666" s="93">
        <v>43176</v>
      </c>
      <c r="S666" s="93" t="s">
        <v>2734</v>
      </c>
    </row>
    <row r="667" spans="1:19">
      <c r="A667" s="92">
        <v>43176</v>
      </c>
      <c r="C667" s="1" t="s">
        <v>56</v>
      </c>
      <c r="E667" s="98" t="s">
        <v>1079</v>
      </c>
      <c r="F667" s="1" t="s">
        <v>1080</v>
      </c>
      <c r="G667" s="1" t="s">
        <v>2445</v>
      </c>
      <c r="H667" s="1">
        <v>1</v>
      </c>
      <c r="I667" s="1" t="s">
        <v>1061</v>
      </c>
      <c r="J667" s="1">
        <v>1</v>
      </c>
      <c r="K667" s="1" t="s">
        <v>353</v>
      </c>
      <c r="L667" s="1" t="s">
        <v>281</v>
      </c>
      <c r="M667" s="1" t="s">
        <v>71</v>
      </c>
      <c r="N667" s="1" t="s">
        <v>72</v>
      </c>
      <c r="O667" s="1" t="s">
        <v>64</v>
      </c>
      <c r="P667" s="1" t="s">
        <v>73</v>
      </c>
      <c r="R667" s="93">
        <v>43176</v>
      </c>
      <c r="S667" s="93" t="s">
        <v>2734</v>
      </c>
    </row>
    <row r="668" spans="1:19">
      <c r="A668" s="92">
        <v>43176</v>
      </c>
      <c r="C668" s="1" t="s">
        <v>66</v>
      </c>
      <c r="E668" s="98" t="s">
        <v>1081</v>
      </c>
      <c r="F668" s="1" t="s">
        <v>1082</v>
      </c>
      <c r="G668" s="1" t="s">
        <v>2446</v>
      </c>
      <c r="H668" s="1">
        <v>5</v>
      </c>
      <c r="I668" s="1" t="s">
        <v>1061</v>
      </c>
      <c r="J668" s="1">
        <v>5</v>
      </c>
      <c r="K668" s="1" t="s">
        <v>175</v>
      </c>
      <c r="L668" s="1" t="s">
        <v>131</v>
      </c>
      <c r="M668" s="1" t="s">
        <v>132</v>
      </c>
      <c r="N668" s="1" t="s">
        <v>72</v>
      </c>
      <c r="O668" s="1" t="s">
        <v>64</v>
      </c>
      <c r="P668" s="1" t="s">
        <v>133</v>
      </c>
      <c r="R668" s="93">
        <v>43176</v>
      </c>
      <c r="S668" s="93" t="s">
        <v>2734</v>
      </c>
    </row>
    <row r="669" spans="1:19">
      <c r="A669" s="92">
        <v>43176</v>
      </c>
      <c r="C669" s="1" t="s">
        <v>66</v>
      </c>
      <c r="E669" s="98" t="s">
        <v>1083</v>
      </c>
      <c r="F669" s="1" t="s">
        <v>1084</v>
      </c>
      <c r="G669" s="1" t="s">
        <v>2447</v>
      </c>
      <c r="H669" s="1">
        <v>1</v>
      </c>
      <c r="I669" s="1" t="s">
        <v>1061</v>
      </c>
      <c r="J669" s="1">
        <v>1</v>
      </c>
      <c r="K669" s="1" t="s">
        <v>403</v>
      </c>
      <c r="L669" s="1" t="s">
        <v>216</v>
      </c>
      <c r="M669" s="1" t="s">
        <v>52</v>
      </c>
      <c r="N669" s="1" t="s">
        <v>63</v>
      </c>
      <c r="O669" s="1" t="s">
        <v>64</v>
      </c>
      <c r="P669" s="1" t="s">
        <v>111</v>
      </c>
      <c r="R669" s="93">
        <v>43176</v>
      </c>
      <c r="S669" s="93" t="s">
        <v>2734</v>
      </c>
    </row>
    <row r="670" spans="1:19">
      <c r="A670" s="92">
        <v>43176</v>
      </c>
      <c r="C670" s="1" t="s">
        <v>56</v>
      </c>
      <c r="E670" s="98" t="s">
        <v>1085</v>
      </c>
      <c r="F670" s="1" t="s">
        <v>1086</v>
      </c>
      <c r="G670" s="1" t="s">
        <v>2448</v>
      </c>
      <c r="H670" s="1">
        <v>6</v>
      </c>
      <c r="I670" s="1" t="s">
        <v>1061</v>
      </c>
      <c r="J670" s="1">
        <v>6</v>
      </c>
      <c r="K670" s="1" t="s">
        <v>85</v>
      </c>
      <c r="L670" s="1" t="s">
        <v>85</v>
      </c>
      <c r="M670" s="1" t="s">
        <v>71</v>
      </c>
      <c r="N670" s="1" t="s">
        <v>72</v>
      </c>
      <c r="O670" s="1" t="s">
        <v>64</v>
      </c>
      <c r="P670" s="1" t="s">
        <v>73</v>
      </c>
      <c r="R670" s="93">
        <v>43176</v>
      </c>
      <c r="S670" s="93" t="s">
        <v>2734</v>
      </c>
    </row>
    <row r="671" spans="1:19">
      <c r="A671" s="92">
        <v>43176</v>
      </c>
      <c r="C671" s="1" t="s">
        <v>66</v>
      </c>
      <c r="E671" s="98" t="s">
        <v>1087</v>
      </c>
      <c r="F671" s="1" t="s">
        <v>415</v>
      </c>
      <c r="G671" s="1" t="s">
        <v>2449</v>
      </c>
      <c r="H671" s="1">
        <v>5</v>
      </c>
      <c r="I671" s="1" t="s">
        <v>1061</v>
      </c>
      <c r="J671" s="1">
        <v>5</v>
      </c>
      <c r="K671" s="1" t="s">
        <v>175</v>
      </c>
      <c r="L671" s="1" t="s">
        <v>131</v>
      </c>
      <c r="M671" s="1" t="s">
        <v>132</v>
      </c>
      <c r="N671" s="1" t="s">
        <v>72</v>
      </c>
      <c r="O671" s="1" t="s">
        <v>64</v>
      </c>
      <c r="P671" s="1" t="s">
        <v>133</v>
      </c>
      <c r="R671" s="93">
        <v>43176</v>
      </c>
      <c r="S671" s="93" t="s">
        <v>2734</v>
      </c>
    </row>
    <row r="672" spans="1:19">
      <c r="A672" s="92">
        <v>43176</v>
      </c>
      <c r="C672" s="1" t="s">
        <v>56</v>
      </c>
      <c r="E672" s="98" t="s">
        <v>1088</v>
      </c>
      <c r="F672" s="1" t="s">
        <v>1089</v>
      </c>
      <c r="G672" s="1" t="s">
        <v>2450</v>
      </c>
      <c r="H672" s="1">
        <v>5</v>
      </c>
      <c r="I672" s="1" t="s">
        <v>1061</v>
      </c>
      <c r="J672" s="1">
        <v>5</v>
      </c>
      <c r="K672" s="1" t="s">
        <v>584</v>
      </c>
      <c r="L672" s="1" t="s">
        <v>216</v>
      </c>
      <c r="M672" s="1" t="s">
        <v>52</v>
      </c>
      <c r="N672" s="1" t="s">
        <v>63</v>
      </c>
      <c r="O672" s="1" t="s">
        <v>64</v>
      </c>
      <c r="P672" s="1" t="s">
        <v>111</v>
      </c>
      <c r="R672" s="93">
        <v>43176</v>
      </c>
      <c r="S672" s="93" t="s">
        <v>2734</v>
      </c>
    </row>
    <row r="673" spans="1:19">
      <c r="A673" s="92">
        <v>43176</v>
      </c>
      <c r="C673" s="1" t="s">
        <v>66</v>
      </c>
      <c r="E673" s="98" t="s">
        <v>1090</v>
      </c>
      <c r="F673" s="1" t="s">
        <v>1091</v>
      </c>
      <c r="G673" s="1" t="s">
        <v>2451</v>
      </c>
      <c r="H673" s="1">
        <v>10</v>
      </c>
      <c r="I673" s="1" t="s">
        <v>1061</v>
      </c>
      <c r="J673" s="1">
        <v>10</v>
      </c>
      <c r="K673" s="1" t="s">
        <v>443</v>
      </c>
      <c r="L673" s="1" t="s">
        <v>269</v>
      </c>
      <c r="M673" s="1" t="s">
        <v>132</v>
      </c>
      <c r="N673" s="1" t="s">
        <v>72</v>
      </c>
      <c r="O673" s="1" t="s">
        <v>64</v>
      </c>
      <c r="P673" s="1" t="s">
        <v>133</v>
      </c>
      <c r="R673" s="93">
        <v>43176</v>
      </c>
      <c r="S673" s="93" t="s">
        <v>2734</v>
      </c>
    </row>
    <row r="674" spans="1:19">
      <c r="A674" s="92">
        <v>43177</v>
      </c>
      <c r="C674" s="1" t="s">
        <v>56</v>
      </c>
      <c r="E674" s="98" t="s">
        <v>103</v>
      </c>
      <c r="F674" s="1" t="s">
        <v>104</v>
      </c>
      <c r="G674" s="1" t="s">
        <v>2089</v>
      </c>
      <c r="H674" s="1">
        <v>1.1065209999999999</v>
      </c>
      <c r="I674" s="1" t="s">
        <v>1061</v>
      </c>
      <c r="J674" s="1">
        <v>1.1065209999999999</v>
      </c>
      <c r="K674" s="1" t="s">
        <v>105</v>
      </c>
      <c r="L674" s="1" t="s">
        <v>105</v>
      </c>
      <c r="M674" s="1" t="s">
        <v>62</v>
      </c>
      <c r="N674" s="1" t="s">
        <v>63</v>
      </c>
      <c r="O674" s="1" t="s">
        <v>64</v>
      </c>
      <c r="P674" s="1" t="s">
        <v>65</v>
      </c>
      <c r="R674" s="93">
        <v>43177</v>
      </c>
      <c r="S674" s="93" t="s">
        <v>2734</v>
      </c>
    </row>
    <row r="675" spans="1:19">
      <c r="A675" s="92">
        <v>43177</v>
      </c>
      <c r="C675" s="1" t="s">
        <v>56</v>
      </c>
      <c r="E675" s="98" t="s">
        <v>1085</v>
      </c>
      <c r="F675" s="1" t="s">
        <v>1086</v>
      </c>
      <c r="G675" s="1" t="s">
        <v>2448</v>
      </c>
      <c r="H675" s="1">
        <v>5.5326029999999999</v>
      </c>
      <c r="I675" s="1" t="s">
        <v>1061</v>
      </c>
      <c r="J675" s="1">
        <v>5.5326029999999999</v>
      </c>
      <c r="K675" s="1" t="s">
        <v>85</v>
      </c>
      <c r="L675" s="1" t="s">
        <v>85</v>
      </c>
      <c r="M675" s="1" t="s">
        <v>71</v>
      </c>
      <c r="N675" s="1" t="s">
        <v>72</v>
      </c>
      <c r="O675" s="1" t="s">
        <v>64</v>
      </c>
      <c r="P675" s="1" t="s">
        <v>73</v>
      </c>
      <c r="R675" s="93">
        <v>43177</v>
      </c>
      <c r="S675" s="93" t="s">
        <v>2734</v>
      </c>
    </row>
    <row r="676" spans="1:19">
      <c r="A676" s="92">
        <v>43177</v>
      </c>
      <c r="C676" s="1" t="s">
        <v>56</v>
      </c>
      <c r="E676" s="98" t="s">
        <v>1092</v>
      </c>
      <c r="F676" s="1" t="s">
        <v>1093</v>
      </c>
      <c r="G676" s="1" t="s">
        <v>2452</v>
      </c>
      <c r="H676" s="1">
        <v>2.7663009999999999</v>
      </c>
      <c r="I676" s="1" t="s">
        <v>1061</v>
      </c>
      <c r="J676" s="1">
        <v>2.7663009999999999</v>
      </c>
      <c r="K676" s="1" t="s">
        <v>175</v>
      </c>
      <c r="L676" s="1" t="s">
        <v>131</v>
      </c>
      <c r="M676" s="1" t="s">
        <v>132</v>
      </c>
      <c r="N676" s="1" t="s">
        <v>72</v>
      </c>
      <c r="O676" s="1" t="s">
        <v>64</v>
      </c>
      <c r="P676" s="1" t="s">
        <v>133</v>
      </c>
      <c r="R676" s="93">
        <v>43177</v>
      </c>
      <c r="S676" s="93" t="s">
        <v>2734</v>
      </c>
    </row>
    <row r="677" spans="1:19">
      <c r="A677" s="92">
        <v>43177</v>
      </c>
      <c r="C677" s="1" t="s">
        <v>56</v>
      </c>
      <c r="E677" s="98" t="s">
        <v>483</v>
      </c>
      <c r="F677" s="1" t="s">
        <v>484</v>
      </c>
      <c r="G677" s="1" t="s">
        <v>2063</v>
      </c>
      <c r="H677" s="1">
        <v>2.213041</v>
      </c>
      <c r="I677" s="1" t="s">
        <v>1061</v>
      </c>
      <c r="J677" s="1">
        <v>2.213041</v>
      </c>
      <c r="K677" s="1" t="s">
        <v>70</v>
      </c>
      <c r="L677" s="1" t="s">
        <v>70</v>
      </c>
      <c r="M677" s="1" t="s">
        <v>71</v>
      </c>
      <c r="N677" s="1" t="s">
        <v>72</v>
      </c>
      <c r="O677" s="1" t="s">
        <v>64</v>
      </c>
      <c r="P677" s="1" t="s">
        <v>73</v>
      </c>
      <c r="R677" s="93">
        <v>43177</v>
      </c>
      <c r="S677" s="93" t="s">
        <v>2734</v>
      </c>
    </row>
    <row r="678" spans="1:19">
      <c r="A678" s="92">
        <v>43177</v>
      </c>
      <c r="C678" s="1" t="s">
        <v>56</v>
      </c>
      <c r="E678" s="98" t="s">
        <v>301</v>
      </c>
      <c r="F678" s="1" t="s">
        <v>302</v>
      </c>
      <c r="G678" s="1" t="s">
        <v>2147</v>
      </c>
      <c r="H678" s="1">
        <v>0.188109</v>
      </c>
      <c r="I678" s="1" t="s">
        <v>1061</v>
      </c>
      <c r="J678" s="1">
        <v>0.188109</v>
      </c>
      <c r="K678" s="1" t="s">
        <v>105</v>
      </c>
      <c r="L678" s="1" t="s">
        <v>105</v>
      </c>
      <c r="M678" s="1" t="s">
        <v>62</v>
      </c>
      <c r="N678" s="1" t="s">
        <v>63</v>
      </c>
      <c r="O678" s="1" t="s">
        <v>64</v>
      </c>
      <c r="P678" s="1" t="s">
        <v>65</v>
      </c>
      <c r="R678" s="93">
        <v>43177</v>
      </c>
      <c r="S678" s="93" t="s">
        <v>2734</v>
      </c>
    </row>
    <row r="679" spans="1:19">
      <c r="A679" s="92">
        <v>43177</v>
      </c>
      <c r="C679" s="1" t="s">
        <v>56</v>
      </c>
      <c r="E679" s="98" t="s">
        <v>1094</v>
      </c>
      <c r="F679" s="1" t="s">
        <v>1095</v>
      </c>
      <c r="G679" s="1" t="s">
        <v>2453</v>
      </c>
      <c r="H679" s="1">
        <v>11</v>
      </c>
      <c r="I679" s="1" t="s">
        <v>1061</v>
      </c>
      <c r="J679" s="1">
        <v>11</v>
      </c>
      <c r="K679" s="1" t="s">
        <v>291</v>
      </c>
      <c r="L679" s="1" t="s">
        <v>85</v>
      </c>
      <c r="M679" s="1" t="s">
        <v>71</v>
      </c>
      <c r="N679" s="1" t="s">
        <v>72</v>
      </c>
      <c r="O679" s="1" t="s">
        <v>64</v>
      </c>
      <c r="P679" s="1" t="s">
        <v>73</v>
      </c>
      <c r="R679" s="93">
        <v>43177</v>
      </c>
      <c r="S679" s="93" t="s">
        <v>2734</v>
      </c>
    </row>
    <row r="680" spans="1:19">
      <c r="A680" s="92">
        <v>43177</v>
      </c>
      <c r="C680" s="1" t="s">
        <v>56</v>
      </c>
      <c r="E680" s="98" t="s">
        <v>1053</v>
      </c>
      <c r="F680" s="1" t="s">
        <v>1054</v>
      </c>
      <c r="G680" s="1" t="s">
        <v>2434</v>
      </c>
      <c r="H680" s="1">
        <v>2</v>
      </c>
      <c r="I680" s="1" t="s">
        <v>1061</v>
      </c>
      <c r="J680" s="1">
        <v>2</v>
      </c>
      <c r="K680" s="1" t="s">
        <v>226</v>
      </c>
      <c r="L680" s="1" t="s">
        <v>117</v>
      </c>
      <c r="M680" s="1" t="s">
        <v>2661</v>
      </c>
      <c r="N680" s="1" t="s">
        <v>72</v>
      </c>
      <c r="O680" s="1" t="s">
        <v>64</v>
      </c>
      <c r="P680" s="1" t="s">
        <v>53</v>
      </c>
      <c r="R680" s="93">
        <v>43177</v>
      </c>
      <c r="S680" s="93" t="s">
        <v>2734</v>
      </c>
    </row>
    <row r="681" spans="1:19">
      <c r="A681" s="92">
        <v>43177</v>
      </c>
      <c r="C681" s="1" t="s">
        <v>56</v>
      </c>
      <c r="E681" s="98" t="s">
        <v>1098</v>
      </c>
      <c r="F681" s="1" t="s">
        <v>1099</v>
      </c>
      <c r="G681" s="1" t="s">
        <v>2454</v>
      </c>
      <c r="H681" s="1">
        <v>10</v>
      </c>
      <c r="I681" s="1" t="s">
        <v>1061</v>
      </c>
      <c r="J681" s="1">
        <v>10</v>
      </c>
      <c r="K681" s="1" t="s">
        <v>226</v>
      </c>
      <c r="L681" s="1" t="s">
        <v>117</v>
      </c>
      <c r="M681" s="1" t="s">
        <v>2661</v>
      </c>
      <c r="N681" s="1" t="s">
        <v>72</v>
      </c>
      <c r="O681" s="1" t="s">
        <v>64</v>
      </c>
      <c r="P681" s="1" t="s">
        <v>53</v>
      </c>
      <c r="R681" s="93">
        <v>43177</v>
      </c>
      <c r="S681" s="93" t="s">
        <v>2734</v>
      </c>
    </row>
    <row r="682" spans="1:19">
      <c r="A682" s="92">
        <v>43177</v>
      </c>
      <c r="C682" s="1" t="s">
        <v>56</v>
      </c>
      <c r="E682" s="98" t="s">
        <v>977</v>
      </c>
      <c r="F682" s="1" t="s">
        <v>978</v>
      </c>
      <c r="G682" s="1" t="s">
        <v>2408</v>
      </c>
      <c r="H682" s="1">
        <v>5</v>
      </c>
      <c r="I682" s="1" t="s">
        <v>1061</v>
      </c>
      <c r="J682" s="1">
        <v>5</v>
      </c>
      <c r="K682" s="1" t="s">
        <v>136</v>
      </c>
      <c r="L682" s="1" t="s">
        <v>85</v>
      </c>
      <c r="M682" s="1" t="s">
        <v>71</v>
      </c>
      <c r="N682" s="1" t="s">
        <v>72</v>
      </c>
      <c r="O682" s="1" t="s">
        <v>64</v>
      </c>
      <c r="P682" s="1" t="s">
        <v>73</v>
      </c>
      <c r="R682" s="93">
        <v>43177</v>
      </c>
      <c r="S682" s="93" t="s">
        <v>2734</v>
      </c>
    </row>
    <row r="683" spans="1:19">
      <c r="A683" s="92">
        <v>43178</v>
      </c>
      <c r="C683" s="1" t="s">
        <v>56</v>
      </c>
      <c r="E683" s="98" t="s">
        <v>1100</v>
      </c>
      <c r="F683" s="1" t="s">
        <v>1101</v>
      </c>
      <c r="G683" s="1" t="s">
        <v>2455</v>
      </c>
      <c r="H683" s="1">
        <v>11.065205000000001</v>
      </c>
      <c r="I683" s="1" t="s">
        <v>1061</v>
      </c>
      <c r="J683" s="1">
        <v>11.065205000000001</v>
      </c>
      <c r="K683" s="1" t="s">
        <v>84</v>
      </c>
      <c r="L683" s="1" t="s">
        <v>85</v>
      </c>
      <c r="M683" s="1" t="s">
        <v>71</v>
      </c>
      <c r="N683" s="1" t="s">
        <v>72</v>
      </c>
      <c r="O683" s="1" t="s">
        <v>64</v>
      </c>
      <c r="P683" s="1" t="s">
        <v>73</v>
      </c>
      <c r="R683" s="93">
        <v>43178</v>
      </c>
      <c r="S683" s="93" t="s">
        <v>2734</v>
      </c>
    </row>
    <row r="684" spans="1:19">
      <c r="A684" s="92">
        <v>43178</v>
      </c>
      <c r="C684" s="1" t="s">
        <v>56</v>
      </c>
      <c r="E684" s="98" t="s">
        <v>1102</v>
      </c>
      <c r="F684" s="1" t="s">
        <v>1103</v>
      </c>
      <c r="G684" s="1" t="s">
        <v>2456</v>
      </c>
      <c r="H684" s="1">
        <v>0.72</v>
      </c>
      <c r="I684" s="1" t="s">
        <v>1061</v>
      </c>
      <c r="J684" s="1">
        <v>0.72</v>
      </c>
      <c r="K684" s="1" t="s">
        <v>149</v>
      </c>
      <c r="L684" s="1" t="s">
        <v>150</v>
      </c>
      <c r="M684" s="1" t="s">
        <v>132</v>
      </c>
      <c r="N684" s="1" t="s">
        <v>72</v>
      </c>
      <c r="O684" s="1" t="s">
        <v>64</v>
      </c>
      <c r="P684" s="1" t="s">
        <v>133</v>
      </c>
      <c r="R684" s="93">
        <v>43178</v>
      </c>
      <c r="S684" s="93" t="s">
        <v>2734</v>
      </c>
    </row>
    <row r="685" spans="1:19">
      <c r="A685" s="92">
        <v>43176</v>
      </c>
      <c r="C685" s="1" t="s">
        <v>56</v>
      </c>
      <c r="E685" s="98" t="s">
        <v>1104</v>
      </c>
      <c r="F685" s="1" t="s">
        <v>1105</v>
      </c>
      <c r="G685" s="1" t="s">
        <v>2457</v>
      </c>
      <c r="H685" s="1">
        <v>0.3</v>
      </c>
      <c r="I685" s="1" t="s">
        <v>1106</v>
      </c>
      <c r="J685" s="1">
        <v>0.18</v>
      </c>
      <c r="K685" s="1" t="s">
        <v>312</v>
      </c>
      <c r="L685" s="1" t="s">
        <v>117</v>
      </c>
      <c r="M685" s="1" t="s">
        <v>2661</v>
      </c>
      <c r="N685" s="1" t="s">
        <v>72</v>
      </c>
      <c r="O685" s="1" t="s">
        <v>64</v>
      </c>
      <c r="P685" s="1" t="s">
        <v>53</v>
      </c>
      <c r="R685" s="93">
        <v>43176</v>
      </c>
      <c r="S685" s="93" t="s">
        <v>2735</v>
      </c>
    </row>
    <row r="686" spans="1:19">
      <c r="A686" s="92">
        <v>43175</v>
      </c>
      <c r="C686" s="1" t="s">
        <v>56</v>
      </c>
      <c r="E686" s="98" t="s">
        <v>848</v>
      </c>
      <c r="F686" s="1" t="s">
        <v>849</v>
      </c>
      <c r="G686" s="1" t="s">
        <v>2355</v>
      </c>
      <c r="H686" s="1">
        <v>2</v>
      </c>
      <c r="I686" s="1" t="s">
        <v>1108</v>
      </c>
      <c r="J686" s="1">
        <v>0.6</v>
      </c>
      <c r="K686" s="1" t="s">
        <v>563</v>
      </c>
      <c r="L686" s="1" t="s">
        <v>281</v>
      </c>
      <c r="M686" s="1" t="s">
        <v>71</v>
      </c>
      <c r="N686" s="1" t="s">
        <v>72</v>
      </c>
      <c r="O686" s="1" t="s">
        <v>64</v>
      </c>
      <c r="P686" s="1" t="s">
        <v>73</v>
      </c>
      <c r="R686" s="93">
        <v>43175</v>
      </c>
      <c r="S686" s="93" t="s">
        <v>2736</v>
      </c>
    </row>
    <row r="687" spans="1:19">
      <c r="A687" s="92">
        <v>43176</v>
      </c>
      <c r="C687" s="1" t="s">
        <v>56</v>
      </c>
      <c r="E687" s="98" t="s">
        <v>1004</v>
      </c>
      <c r="F687" s="1" t="s">
        <v>1005</v>
      </c>
      <c r="G687" s="1" t="s">
        <v>2418</v>
      </c>
      <c r="H687" s="1">
        <v>37.409999999999997</v>
      </c>
      <c r="I687" s="1" t="s">
        <v>1108</v>
      </c>
      <c r="J687" s="1">
        <v>11.223000000000001</v>
      </c>
      <c r="K687" s="1" t="s">
        <v>416</v>
      </c>
      <c r="L687" s="1" t="s">
        <v>193</v>
      </c>
      <c r="M687" s="1" t="s">
        <v>62</v>
      </c>
      <c r="N687" s="1" t="s">
        <v>63</v>
      </c>
      <c r="O687" s="1" t="s">
        <v>64</v>
      </c>
      <c r="P687" s="1" t="s">
        <v>65</v>
      </c>
      <c r="R687" s="93">
        <v>43176</v>
      </c>
      <c r="S687" s="93" t="s">
        <v>2736</v>
      </c>
    </row>
    <row r="688" spans="1:19">
      <c r="A688" s="92">
        <v>43176</v>
      </c>
      <c r="C688" s="1" t="s">
        <v>56</v>
      </c>
      <c r="E688" s="98" t="s">
        <v>903</v>
      </c>
      <c r="F688" s="1" t="s">
        <v>904</v>
      </c>
      <c r="G688" s="1" t="s">
        <v>2378</v>
      </c>
      <c r="H688" s="1">
        <v>0.24</v>
      </c>
      <c r="I688" s="1" t="s">
        <v>1108</v>
      </c>
      <c r="J688" s="1">
        <v>7.1999999999999995E-2</v>
      </c>
      <c r="K688" s="1" t="s">
        <v>416</v>
      </c>
      <c r="L688" s="1" t="s">
        <v>193</v>
      </c>
      <c r="M688" s="1" t="s">
        <v>62</v>
      </c>
      <c r="N688" s="1" t="s">
        <v>63</v>
      </c>
      <c r="O688" s="1" t="s">
        <v>64</v>
      </c>
      <c r="P688" s="1" t="s">
        <v>65</v>
      </c>
      <c r="R688" s="93">
        <v>43176</v>
      </c>
      <c r="S688" s="93" t="s">
        <v>2736</v>
      </c>
    </row>
    <row r="689" spans="1:19">
      <c r="A689" s="92">
        <v>43176</v>
      </c>
      <c r="C689" s="1" t="s">
        <v>56</v>
      </c>
      <c r="E689" s="98" t="s">
        <v>1111</v>
      </c>
      <c r="F689" s="1" t="s">
        <v>1112</v>
      </c>
      <c r="G689" s="1" t="s">
        <v>2458</v>
      </c>
      <c r="H689" s="1">
        <v>0.53</v>
      </c>
      <c r="I689" s="1" t="s">
        <v>1108</v>
      </c>
      <c r="J689" s="1">
        <v>0.159</v>
      </c>
      <c r="K689" s="1" t="s">
        <v>85</v>
      </c>
      <c r="L689" s="1" t="s">
        <v>85</v>
      </c>
      <c r="M689" s="1" t="s">
        <v>71</v>
      </c>
      <c r="N689" s="1" t="s">
        <v>72</v>
      </c>
      <c r="O689" s="1" t="s">
        <v>64</v>
      </c>
      <c r="P689" s="1" t="s">
        <v>73</v>
      </c>
      <c r="R689" s="93">
        <v>43176</v>
      </c>
      <c r="S689" s="93" t="s">
        <v>2736</v>
      </c>
    </row>
    <row r="690" spans="1:19">
      <c r="A690" s="92">
        <v>43176</v>
      </c>
      <c r="C690" s="1" t="s">
        <v>56</v>
      </c>
      <c r="E690" s="98" t="s">
        <v>764</v>
      </c>
      <c r="F690" s="1" t="s">
        <v>765</v>
      </c>
      <c r="G690" s="1" t="s">
        <v>2325</v>
      </c>
      <c r="H690" s="1">
        <v>1</v>
      </c>
      <c r="I690" s="1" t="s">
        <v>1108</v>
      </c>
      <c r="J690" s="1">
        <v>0.3</v>
      </c>
      <c r="K690" s="1" t="s">
        <v>144</v>
      </c>
      <c r="L690" s="1" t="s">
        <v>93</v>
      </c>
      <c r="M690" s="1" t="s">
        <v>94</v>
      </c>
      <c r="N690" s="1" t="s">
        <v>72</v>
      </c>
      <c r="O690" s="1" t="s">
        <v>64</v>
      </c>
      <c r="P690" s="1" t="s">
        <v>95</v>
      </c>
      <c r="R690" s="93">
        <v>43176</v>
      </c>
      <c r="S690" s="93" t="s">
        <v>2736</v>
      </c>
    </row>
    <row r="691" spans="1:19">
      <c r="A691" s="92">
        <v>43176</v>
      </c>
      <c r="C691" s="1" t="s">
        <v>56</v>
      </c>
      <c r="E691" s="98" t="s">
        <v>1115</v>
      </c>
      <c r="F691" s="1" t="s">
        <v>1116</v>
      </c>
      <c r="G691" s="1" t="s">
        <v>2459</v>
      </c>
      <c r="H691" s="1">
        <v>10</v>
      </c>
      <c r="I691" s="1" t="s">
        <v>1108</v>
      </c>
      <c r="J691" s="1">
        <v>3</v>
      </c>
      <c r="K691" s="1" t="s">
        <v>309</v>
      </c>
      <c r="L691" s="1" t="s">
        <v>150</v>
      </c>
      <c r="M691" s="1" t="s">
        <v>132</v>
      </c>
      <c r="N691" s="1" t="s">
        <v>72</v>
      </c>
      <c r="O691" s="1" t="s">
        <v>64</v>
      </c>
      <c r="P691" s="1" t="s">
        <v>133</v>
      </c>
      <c r="R691" s="93">
        <v>43176</v>
      </c>
      <c r="S691" s="93" t="s">
        <v>2736</v>
      </c>
    </row>
    <row r="692" spans="1:19">
      <c r="A692" s="92">
        <v>43176</v>
      </c>
      <c r="C692" s="1" t="s">
        <v>56</v>
      </c>
      <c r="E692" s="98" t="s">
        <v>1117</v>
      </c>
      <c r="F692" s="1" t="s">
        <v>1118</v>
      </c>
      <c r="G692" s="1" t="s">
        <v>2460</v>
      </c>
      <c r="H692" s="1">
        <v>1.8</v>
      </c>
      <c r="I692" s="1" t="s">
        <v>1108</v>
      </c>
      <c r="J692" s="1">
        <v>0.54</v>
      </c>
      <c r="K692" s="1" t="s">
        <v>1119</v>
      </c>
      <c r="L692" s="1" t="s">
        <v>110</v>
      </c>
      <c r="M692" s="1" t="s">
        <v>52</v>
      </c>
      <c r="N692" s="1" t="s">
        <v>63</v>
      </c>
      <c r="O692" s="1" t="s">
        <v>64</v>
      </c>
      <c r="P692" s="1" t="s">
        <v>111</v>
      </c>
      <c r="R692" s="93">
        <v>43176</v>
      </c>
      <c r="S692" s="93" t="s">
        <v>2736</v>
      </c>
    </row>
    <row r="693" spans="1:19">
      <c r="A693" s="92">
        <v>43176</v>
      </c>
      <c r="C693" s="1" t="s">
        <v>56</v>
      </c>
      <c r="E693" s="98" t="s">
        <v>759</v>
      </c>
      <c r="F693" s="1" t="s">
        <v>760</v>
      </c>
      <c r="G693" s="1" t="s">
        <v>2323</v>
      </c>
      <c r="H693" s="1">
        <v>0.8</v>
      </c>
      <c r="I693" s="1" t="s">
        <v>1108</v>
      </c>
      <c r="J693" s="1">
        <v>0.24</v>
      </c>
      <c r="K693" s="1" t="s">
        <v>277</v>
      </c>
      <c r="L693" s="1" t="s">
        <v>269</v>
      </c>
      <c r="M693" s="1" t="s">
        <v>132</v>
      </c>
      <c r="N693" s="1" t="s">
        <v>72</v>
      </c>
      <c r="O693" s="1" t="s">
        <v>64</v>
      </c>
      <c r="P693" s="1" t="s">
        <v>133</v>
      </c>
      <c r="R693" s="93">
        <v>43176</v>
      </c>
      <c r="S693" s="93" t="s">
        <v>2736</v>
      </c>
    </row>
    <row r="694" spans="1:19">
      <c r="A694" s="92">
        <v>43177</v>
      </c>
      <c r="C694" s="1" t="s">
        <v>56</v>
      </c>
      <c r="E694" s="98" t="s">
        <v>1120</v>
      </c>
      <c r="F694" s="1" t="s">
        <v>1121</v>
      </c>
      <c r="G694" s="1" t="s">
        <v>2461</v>
      </c>
      <c r="H694" s="1">
        <v>5</v>
      </c>
      <c r="I694" s="1" t="s">
        <v>1108</v>
      </c>
      <c r="J694" s="1">
        <v>1.5</v>
      </c>
      <c r="K694" s="1" t="s">
        <v>312</v>
      </c>
      <c r="L694" s="1" t="s">
        <v>117</v>
      </c>
      <c r="M694" s="1" t="s">
        <v>2661</v>
      </c>
      <c r="N694" s="1" t="s">
        <v>72</v>
      </c>
      <c r="O694" s="1" t="s">
        <v>64</v>
      </c>
      <c r="P694" s="1" t="s">
        <v>53</v>
      </c>
      <c r="R694" s="93">
        <v>43177</v>
      </c>
      <c r="S694" s="93" t="s">
        <v>2736</v>
      </c>
    </row>
    <row r="695" spans="1:19">
      <c r="A695" s="92">
        <v>43177</v>
      </c>
      <c r="C695" s="1" t="s">
        <v>56</v>
      </c>
      <c r="E695" s="98" t="s">
        <v>1122</v>
      </c>
      <c r="F695" s="1" t="s">
        <v>1123</v>
      </c>
      <c r="G695" s="1" t="s">
        <v>2462</v>
      </c>
      <c r="H695" s="1">
        <v>1</v>
      </c>
      <c r="I695" s="1" t="s">
        <v>1108</v>
      </c>
      <c r="J695" s="1">
        <v>0.3</v>
      </c>
      <c r="K695" s="1" t="s">
        <v>365</v>
      </c>
      <c r="L695" s="1" t="s">
        <v>102</v>
      </c>
      <c r="M695" s="1" t="s">
        <v>94</v>
      </c>
      <c r="N695" s="1" t="s">
        <v>72</v>
      </c>
      <c r="O695" s="1" t="s">
        <v>64</v>
      </c>
      <c r="P695" s="1" t="s">
        <v>95</v>
      </c>
      <c r="R695" s="93">
        <v>43177</v>
      </c>
      <c r="S695" s="93" t="s">
        <v>2736</v>
      </c>
    </row>
    <row r="696" spans="1:19">
      <c r="A696" s="92">
        <v>43177</v>
      </c>
      <c r="C696" s="1" t="s">
        <v>56</v>
      </c>
      <c r="E696" s="98" t="s">
        <v>1124</v>
      </c>
      <c r="F696" s="1" t="s">
        <v>226</v>
      </c>
      <c r="G696" s="1" t="s">
        <v>2463</v>
      </c>
      <c r="H696" s="1">
        <v>3</v>
      </c>
      <c r="I696" s="1" t="s">
        <v>1108</v>
      </c>
      <c r="J696" s="1">
        <v>0.9</v>
      </c>
      <c r="K696" s="1" t="s">
        <v>226</v>
      </c>
      <c r="L696" s="1" t="s">
        <v>117</v>
      </c>
      <c r="M696" s="1" t="s">
        <v>2661</v>
      </c>
      <c r="N696" s="1" t="s">
        <v>72</v>
      </c>
      <c r="O696" s="1" t="s">
        <v>64</v>
      </c>
      <c r="P696" s="1" t="s">
        <v>53</v>
      </c>
      <c r="R696" s="93">
        <v>43177</v>
      </c>
      <c r="S696" s="93" t="s">
        <v>2736</v>
      </c>
    </row>
    <row r="697" spans="1:19">
      <c r="A697" s="92">
        <v>43177</v>
      </c>
      <c r="C697" s="1" t="s">
        <v>66</v>
      </c>
      <c r="E697" s="98" t="s">
        <v>1125</v>
      </c>
      <c r="F697" s="1" t="s">
        <v>1126</v>
      </c>
      <c r="G697" s="1" t="s">
        <v>2464</v>
      </c>
      <c r="H697" s="1">
        <v>1</v>
      </c>
      <c r="I697" s="1" t="s">
        <v>1108</v>
      </c>
      <c r="J697" s="1">
        <v>0.3</v>
      </c>
      <c r="K697" s="1" t="s">
        <v>84</v>
      </c>
      <c r="L697" s="1" t="s">
        <v>85</v>
      </c>
      <c r="M697" s="1" t="s">
        <v>71</v>
      </c>
      <c r="N697" s="1" t="s">
        <v>72</v>
      </c>
      <c r="O697" s="1" t="s">
        <v>64</v>
      </c>
      <c r="P697" s="1" t="s">
        <v>73</v>
      </c>
      <c r="R697" s="93">
        <v>43177</v>
      </c>
      <c r="S697" s="93" t="s">
        <v>2736</v>
      </c>
    </row>
    <row r="698" spans="1:19">
      <c r="A698" s="92">
        <v>43177</v>
      </c>
      <c r="C698" s="1" t="s">
        <v>66</v>
      </c>
      <c r="E698" s="98" t="s">
        <v>1125</v>
      </c>
      <c r="F698" s="1" t="s">
        <v>1126</v>
      </c>
      <c r="G698" s="1" t="s">
        <v>2464</v>
      </c>
      <c r="H698" s="1">
        <v>0.01</v>
      </c>
      <c r="I698" s="1" t="s">
        <v>1108</v>
      </c>
      <c r="J698" s="1">
        <v>3.0000000000000001E-3</v>
      </c>
      <c r="K698" s="1" t="s">
        <v>84</v>
      </c>
      <c r="L698" s="1" t="s">
        <v>85</v>
      </c>
      <c r="M698" s="1" t="s">
        <v>71</v>
      </c>
      <c r="N698" s="1" t="s">
        <v>72</v>
      </c>
      <c r="O698" s="1" t="s">
        <v>64</v>
      </c>
      <c r="P698" s="1" t="s">
        <v>73</v>
      </c>
      <c r="R698" s="93">
        <v>43177</v>
      </c>
      <c r="S698" s="93" t="s">
        <v>2736</v>
      </c>
    </row>
    <row r="699" spans="1:19">
      <c r="A699" s="92">
        <v>43177</v>
      </c>
      <c r="C699" s="1" t="s">
        <v>56</v>
      </c>
      <c r="E699" s="98" t="s">
        <v>513</v>
      </c>
      <c r="F699" s="1" t="s">
        <v>514</v>
      </c>
      <c r="G699" s="1" t="s">
        <v>2228</v>
      </c>
      <c r="H699" s="1">
        <v>0.15</v>
      </c>
      <c r="I699" s="1" t="s">
        <v>1108</v>
      </c>
      <c r="J699" s="1">
        <v>4.4999999999999998E-2</v>
      </c>
      <c r="K699" s="1" t="s">
        <v>172</v>
      </c>
      <c r="L699" s="1" t="s">
        <v>131</v>
      </c>
      <c r="M699" s="1" t="s">
        <v>132</v>
      </c>
      <c r="N699" s="1" t="s">
        <v>72</v>
      </c>
      <c r="O699" s="1" t="s">
        <v>64</v>
      </c>
      <c r="P699" s="1" t="s">
        <v>133</v>
      </c>
      <c r="R699" s="93">
        <v>43177</v>
      </c>
      <c r="S699" s="93" t="s">
        <v>2736</v>
      </c>
    </row>
    <row r="700" spans="1:19">
      <c r="A700" s="92">
        <v>43177</v>
      </c>
      <c r="C700" s="1" t="s">
        <v>56</v>
      </c>
      <c r="E700" s="98" t="s">
        <v>331</v>
      </c>
      <c r="F700" s="1" t="s">
        <v>332</v>
      </c>
      <c r="G700" s="1" t="s">
        <v>2161</v>
      </c>
      <c r="H700" s="1">
        <v>5</v>
      </c>
      <c r="I700" s="1" t="s">
        <v>1108</v>
      </c>
      <c r="J700" s="1">
        <v>1.5</v>
      </c>
      <c r="K700" s="1" t="s">
        <v>239</v>
      </c>
      <c r="L700" s="1" t="s">
        <v>150</v>
      </c>
      <c r="M700" s="1" t="s">
        <v>132</v>
      </c>
      <c r="N700" s="1" t="s">
        <v>72</v>
      </c>
      <c r="O700" s="1" t="s">
        <v>64</v>
      </c>
      <c r="P700" s="1" t="s">
        <v>133</v>
      </c>
      <c r="R700" s="93">
        <v>43177</v>
      </c>
      <c r="S700" s="93" t="s">
        <v>2736</v>
      </c>
    </row>
    <row r="701" spans="1:19">
      <c r="A701" s="92">
        <v>43178</v>
      </c>
      <c r="C701" s="1" t="s">
        <v>56</v>
      </c>
      <c r="E701" s="98" t="s">
        <v>1127</v>
      </c>
      <c r="F701" s="1" t="s">
        <v>1128</v>
      </c>
      <c r="G701" s="1" t="s">
        <v>2465</v>
      </c>
      <c r="H701" s="1">
        <v>1.66</v>
      </c>
      <c r="I701" s="1" t="s">
        <v>1108</v>
      </c>
      <c r="J701" s="1">
        <v>0.498</v>
      </c>
      <c r="K701" s="1" t="s">
        <v>175</v>
      </c>
      <c r="L701" s="1" t="s">
        <v>131</v>
      </c>
      <c r="M701" s="1" t="s">
        <v>132</v>
      </c>
      <c r="N701" s="1" t="s">
        <v>72</v>
      </c>
      <c r="O701" s="1" t="s">
        <v>64</v>
      </c>
      <c r="P701" s="1" t="s">
        <v>133</v>
      </c>
      <c r="R701" s="93">
        <v>43178</v>
      </c>
      <c r="S701" s="93" t="s">
        <v>2736</v>
      </c>
    </row>
    <row r="702" spans="1:19">
      <c r="A702" s="92">
        <v>43178</v>
      </c>
      <c r="C702" s="1" t="s">
        <v>56</v>
      </c>
      <c r="E702" s="98" t="s">
        <v>948</v>
      </c>
      <c r="F702" s="1" t="s">
        <v>949</v>
      </c>
      <c r="G702" s="1" t="s">
        <v>2397</v>
      </c>
      <c r="H702" s="1">
        <v>2</v>
      </c>
      <c r="I702" s="1" t="s">
        <v>1131</v>
      </c>
      <c r="J702" s="1">
        <v>0.6</v>
      </c>
      <c r="K702" s="1" t="s">
        <v>124</v>
      </c>
      <c r="L702" s="1" t="s">
        <v>117</v>
      </c>
      <c r="M702" s="1" t="s">
        <v>2661</v>
      </c>
      <c r="N702" s="1" t="s">
        <v>72</v>
      </c>
      <c r="O702" s="1" t="s">
        <v>64</v>
      </c>
      <c r="P702" s="1" t="s">
        <v>53</v>
      </c>
      <c r="R702" s="93">
        <v>43178</v>
      </c>
      <c r="S702" s="93" t="s">
        <v>2737</v>
      </c>
    </row>
    <row r="703" spans="1:19">
      <c r="A703" s="92">
        <v>43178</v>
      </c>
      <c r="C703" s="1" t="s">
        <v>56</v>
      </c>
      <c r="E703" s="98" t="s">
        <v>1115</v>
      </c>
      <c r="F703" s="1" t="s">
        <v>1116</v>
      </c>
      <c r="G703" s="1" t="s">
        <v>2459</v>
      </c>
      <c r="H703" s="1">
        <v>10</v>
      </c>
      <c r="I703" s="1" t="s">
        <v>1131</v>
      </c>
      <c r="J703" s="1">
        <v>3</v>
      </c>
      <c r="K703" s="1" t="s">
        <v>309</v>
      </c>
      <c r="L703" s="1" t="s">
        <v>150</v>
      </c>
      <c r="M703" s="1" t="s">
        <v>132</v>
      </c>
      <c r="N703" s="1" t="s">
        <v>72</v>
      </c>
      <c r="O703" s="1" t="s">
        <v>64</v>
      </c>
      <c r="P703" s="1" t="s">
        <v>133</v>
      </c>
      <c r="R703" s="93">
        <v>43178</v>
      </c>
      <c r="S703" s="93" t="s">
        <v>2737</v>
      </c>
    </row>
    <row r="704" spans="1:19">
      <c r="A704" s="92">
        <v>43178</v>
      </c>
      <c r="C704" s="1" t="s">
        <v>56</v>
      </c>
      <c r="E704" s="98" t="s">
        <v>1132</v>
      </c>
      <c r="F704" s="1" t="s">
        <v>1133</v>
      </c>
      <c r="G704" s="1" t="s">
        <v>2466</v>
      </c>
      <c r="H704" s="1">
        <v>2.5</v>
      </c>
      <c r="I704" s="1" t="s">
        <v>1131</v>
      </c>
      <c r="J704" s="1">
        <v>0.75</v>
      </c>
      <c r="K704" s="1" t="s">
        <v>577</v>
      </c>
      <c r="L704" s="1" t="s">
        <v>131</v>
      </c>
      <c r="M704" s="1" t="s">
        <v>132</v>
      </c>
      <c r="N704" s="1" t="s">
        <v>72</v>
      </c>
      <c r="O704" s="1" t="s">
        <v>64</v>
      </c>
      <c r="P704" s="1" t="s">
        <v>133</v>
      </c>
      <c r="R704" s="93">
        <v>43178</v>
      </c>
      <c r="S704" s="93" t="s">
        <v>2737</v>
      </c>
    </row>
    <row r="705" spans="1:19">
      <c r="A705" s="92">
        <v>43178</v>
      </c>
      <c r="C705" s="1" t="s">
        <v>56</v>
      </c>
      <c r="E705" s="98" t="s">
        <v>1134</v>
      </c>
      <c r="F705" s="1" t="s">
        <v>1135</v>
      </c>
      <c r="G705" s="1" t="s">
        <v>2467</v>
      </c>
      <c r="H705" s="1">
        <v>7</v>
      </c>
      <c r="I705" s="1" t="s">
        <v>1131</v>
      </c>
      <c r="J705" s="1">
        <v>2.1</v>
      </c>
      <c r="K705" s="1" t="s">
        <v>584</v>
      </c>
      <c r="L705" s="1" t="s">
        <v>216</v>
      </c>
      <c r="M705" s="1" t="s">
        <v>52</v>
      </c>
      <c r="N705" s="1" t="s">
        <v>63</v>
      </c>
      <c r="O705" s="1" t="s">
        <v>64</v>
      </c>
      <c r="P705" s="1" t="s">
        <v>111</v>
      </c>
      <c r="R705" s="93">
        <v>43178</v>
      </c>
      <c r="S705" s="93" t="s">
        <v>2737</v>
      </c>
    </row>
    <row r="706" spans="1:19">
      <c r="A706" s="92">
        <v>43178</v>
      </c>
      <c r="C706" s="1" t="s">
        <v>66</v>
      </c>
      <c r="E706" s="98" t="s">
        <v>1028</v>
      </c>
      <c r="F706" s="1" t="s">
        <v>1029</v>
      </c>
      <c r="G706" s="1" t="s">
        <v>2427</v>
      </c>
      <c r="H706" s="1">
        <v>1.03</v>
      </c>
      <c r="I706" s="1" t="s">
        <v>1131</v>
      </c>
      <c r="J706" s="1">
        <v>0.309</v>
      </c>
      <c r="K706" s="1" t="s">
        <v>242</v>
      </c>
      <c r="L706" s="1" t="s">
        <v>93</v>
      </c>
      <c r="M706" s="1" t="s">
        <v>94</v>
      </c>
      <c r="N706" s="1" t="s">
        <v>72</v>
      </c>
      <c r="O706" s="1" t="s">
        <v>64</v>
      </c>
      <c r="P706" s="1" t="s">
        <v>95</v>
      </c>
      <c r="R706" s="93">
        <v>43178</v>
      </c>
      <c r="S706" s="93" t="s">
        <v>2737</v>
      </c>
    </row>
    <row r="707" spans="1:19">
      <c r="A707" s="92">
        <v>43178</v>
      </c>
      <c r="C707" s="1" t="s">
        <v>66</v>
      </c>
      <c r="E707" s="98" t="s">
        <v>1028</v>
      </c>
      <c r="F707" s="1" t="s">
        <v>1029</v>
      </c>
      <c r="G707" s="1" t="s">
        <v>2427</v>
      </c>
      <c r="H707" s="1">
        <v>0.01</v>
      </c>
      <c r="I707" s="1" t="s">
        <v>1131</v>
      </c>
      <c r="J707" s="1">
        <v>3.0000000000000001E-3</v>
      </c>
      <c r="K707" s="1" t="s">
        <v>242</v>
      </c>
      <c r="L707" s="1" t="s">
        <v>93</v>
      </c>
      <c r="M707" s="1" t="s">
        <v>94</v>
      </c>
      <c r="N707" s="1" t="s">
        <v>72</v>
      </c>
      <c r="O707" s="1" t="s">
        <v>64</v>
      </c>
      <c r="P707" s="1" t="s">
        <v>95</v>
      </c>
      <c r="R707" s="93">
        <v>43178</v>
      </c>
      <c r="S707" s="93" t="s">
        <v>2737</v>
      </c>
    </row>
    <row r="708" spans="1:19">
      <c r="A708" s="92">
        <v>43178</v>
      </c>
      <c r="C708" s="1" t="s">
        <v>66</v>
      </c>
      <c r="E708" s="98" t="s">
        <v>1028</v>
      </c>
      <c r="F708" s="1" t="s">
        <v>1029</v>
      </c>
      <c r="G708" s="1" t="s">
        <v>2427</v>
      </c>
      <c r="H708" s="1">
        <v>0.06</v>
      </c>
      <c r="I708" s="1" t="s">
        <v>1131</v>
      </c>
      <c r="J708" s="1">
        <v>1.7999999999999999E-2</v>
      </c>
      <c r="K708" s="1" t="s">
        <v>242</v>
      </c>
      <c r="L708" s="1" t="s">
        <v>93</v>
      </c>
      <c r="M708" s="1" t="s">
        <v>94</v>
      </c>
      <c r="N708" s="1" t="s">
        <v>72</v>
      </c>
      <c r="O708" s="1" t="s">
        <v>64</v>
      </c>
      <c r="P708" s="1" t="s">
        <v>95</v>
      </c>
      <c r="R708" s="93">
        <v>43178</v>
      </c>
      <c r="S708" s="93" t="s">
        <v>2737</v>
      </c>
    </row>
    <row r="709" spans="1:19">
      <c r="A709" s="92">
        <v>43178</v>
      </c>
      <c r="C709" s="1" t="s">
        <v>56</v>
      </c>
      <c r="E709" s="98" t="s">
        <v>207</v>
      </c>
      <c r="F709" s="1" t="s">
        <v>208</v>
      </c>
      <c r="G709" s="1" t="s">
        <v>2115</v>
      </c>
      <c r="H709" s="1">
        <v>1</v>
      </c>
      <c r="I709" s="1" t="s">
        <v>1131</v>
      </c>
      <c r="J709" s="1">
        <v>0.3</v>
      </c>
      <c r="K709" s="1" t="s">
        <v>209</v>
      </c>
      <c r="L709" s="1" t="s">
        <v>131</v>
      </c>
      <c r="M709" s="1" t="s">
        <v>132</v>
      </c>
      <c r="N709" s="1" t="s">
        <v>72</v>
      </c>
      <c r="O709" s="1" t="s">
        <v>64</v>
      </c>
      <c r="P709" s="1" t="s">
        <v>133</v>
      </c>
      <c r="R709" s="93">
        <v>43178</v>
      </c>
      <c r="S709" s="93" t="s">
        <v>2737</v>
      </c>
    </row>
    <row r="710" spans="1:19">
      <c r="A710" s="92">
        <v>43178</v>
      </c>
      <c r="C710" s="1" t="s">
        <v>66</v>
      </c>
      <c r="E710" s="98" t="s">
        <v>1138</v>
      </c>
      <c r="F710" s="1" t="s">
        <v>1139</v>
      </c>
      <c r="G710" s="1" t="s">
        <v>2468</v>
      </c>
      <c r="H710" s="1">
        <v>0.02</v>
      </c>
      <c r="I710" s="1" t="s">
        <v>1131</v>
      </c>
      <c r="J710" s="1">
        <v>6.0000000000000001E-3</v>
      </c>
      <c r="K710" s="1" t="s">
        <v>70</v>
      </c>
      <c r="L710" s="1" t="s">
        <v>70</v>
      </c>
      <c r="M710" s="1" t="s">
        <v>71</v>
      </c>
      <c r="N710" s="1" t="s">
        <v>72</v>
      </c>
      <c r="O710" s="1" t="s">
        <v>64</v>
      </c>
      <c r="P710" s="1" t="s">
        <v>73</v>
      </c>
      <c r="R710" s="93">
        <v>43178</v>
      </c>
      <c r="S710" s="93" t="s">
        <v>2737</v>
      </c>
    </row>
    <row r="711" spans="1:19">
      <c r="A711" s="92">
        <v>43178</v>
      </c>
      <c r="C711" s="1" t="s">
        <v>56</v>
      </c>
      <c r="E711" s="98" t="s">
        <v>1140</v>
      </c>
      <c r="F711" s="1" t="s">
        <v>1141</v>
      </c>
      <c r="G711" s="1" t="s">
        <v>2469</v>
      </c>
      <c r="H711" s="1">
        <v>1</v>
      </c>
      <c r="I711" s="1" t="s">
        <v>1131</v>
      </c>
      <c r="J711" s="1">
        <v>0.3</v>
      </c>
      <c r="K711" s="1" t="s">
        <v>212</v>
      </c>
      <c r="L711" s="1" t="s">
        <v>150</v>
      </c>
      <c r="M711" s="1" t="s">
        <v>132</v>
      </c>
      <c r="N711" s="1" t="s">
        <v>72</v>
      </c>
      <c r="O711" s="1" t="s">
        <v>64</v>
      </c>
      <c r="P711" s="1" t="s">
        <v>133</v>
      </c>
      <c r="R711" s="93">
        <v>43178</v>
      </c>
      <c r="S711" s="93" t="s">
        <v>2737</v>
      </c>
    </row>
    <row r="712" spans="1:19">
      <c r="A712" s="92">
        <v>43178</v>
      </c>
      <c r="C712" s="1" t="s">
        <v>56</v>
      </c>
      <c r="E712" s="98" t="s">
        <v>1142</v>
      </c>
      <c r="F712" s="1" t="s">
        <v>1143</v>
      </c>
      <c r="G712" s="1" t="s">
        <v>2470</v>
      </c>
      <c r="H712" s="1">
        <v>0.2</v>
      </c>
      <c r="I712" s="1" t="s">
        <v>1131</v>
      </c>
      <c r="J712" s="1">
        <v>0.06</v>
      </c>
      <c r="K712" s="1" t="s">
        <v>252</v>
      </c>
      <c r="L712" s="1" t="s">
        <v>253</v>
      </c>
      <c r="M712" s="1" t="s">
        <v>94</v>
      </c>
      <c r="N712" s="1" t="s">
        <v>72</v>
      </c>
      <c r="O712" s="1" t="s">
        <v>64</v>
      </c>
      <c r="P712" s="1" t="s">
        <v>95</v>
      </c>
      <c r="R712" s="93">
        <v>43178</v>
      </c>
      <c r="S712" s="93" t="s">
        <v>2737</v>
      </c>
    </row>
    <row r="713" spans="1:19">
      <c r="A713" s="92">
        <v>43178</v>
      </c>
      <c r="C713" s="1" t="s">
        <v>56</v>
      </c>
      <c r="E713" s="98" t="s">
        <v>817</v>
      </c>
      <c r="F713" s="1" t="s">
        <v>818</v>
      </c>
      <c r="G713" s="1" t="s">
        <v>2343</v>
      </c>
      <c r="H713" s="1">
        <v>1.89</v>
      </c>
      <c r="I713" s="1" t="s">
        <v>1131</v>
      </c>
      <c r="J713" s="1">
        <v>0.56699999999999995</v>
      </c>
      <c r="K713" s="1" t="s">
        <v>434</v>
      </c>
      <c r="L713" s="1" t="s">
        <v>269</v>
      </c>
      <c r="M713" s="1" t="s">
        <v>132</v>
      </c>
      <c r="N713" s="1" t="s">
        <v>72</v>
      </c>
      <c r="O713" s="1" t="s">
        <v>64</v>
      </c>
      <c r="P713" s="1" t="s">
        <v>133</v>
      </c>
      <c r="R713" s="93">
        <v>43178</v>
      </c>
      <c r="S713" s="93" t="s">
        <v>2737</v>
      </c>
    </row>
    <row r="714" spans="1:19">
      <c r="A714" s="92">
        <v>43178</v>
      </c>
      <c r="C714" s="1" t="s">
        <v>56</v>
      </c>
      <c r="E714" s="98" t="s">
        <v>1144</v>
      </c>
      <c r="F714" s="1" t="s">
        <v>1145</v>
      </c>
      <c r="G714" s="1" t="s">
        <v>2471</v>
      </c>
      <c r="H714" s="1">
        <v>5</v>
      </c>
      <c r="I714" s="1" t="s">
        <v>1131</v>
      </c>
      <c r="J714" s="1">
        <v>1.5</v>
      </c>
      <c r="K714" s="1" t="s">
        <v>70</v>
      </c>
      <c r="L714" s="1" t="s">
        <v>70</v>
      </c>
      <c r="M714" s="1" t="s">
        <v>71</v>
      </c>
      <c r="N714" s="1" t="s">
        <v>72</v>
      </c>
      <c r="O714" s="1" t="s">
        <v>64</v>
      </c>
      <c r="P714" s="1" t="s">
        <v>73</v>
      </c>
      <c r="R714" s="93">
        <v>43178</v>
      </c>
      <c r="S714" s="93" t="s">
        <v>2737</v>
      </c>
    </row>
    <row r="715" spans="1:19">
      <c r="A715" s="92">
        <v>43178</v>
      </c>
      <c r="C715" s="1" t="s">
        <v>56</v>
      </c>
      <c r="E715" s="98" t="s">
        <v>1144</v>
      </c>
      <c r="F715" s="1" t="s">
        <v>1145</v>
      </c>
      <c r="G715" s="1" t="s">
        <v>2471</v>
      </c>
      <c r="H715" s="1">
        <v>1</v>
      </c>
      <c r="I715" s="1" t="s">
        <v>1131</v>
      </c>
      <c r="J715" s="1">
        <v>0.3</v>
      </c>
      <c r="K715" s="1" t="s">
        <v>70</v>
      </c>
      <c r="L715" s="1" t="s">
        <v>70</v>
      </c>
      <c r="M715" s="1" t="s">
        <v>71</v>
      </c>
      <c r="N715" s="1" t="s">
        <v>72</v>
      </c>
      <c r="O715" s="1" t="s">
        <v>64</v>
      </c>
      <c r="P715" s="1" t="s">
        <v>73</v>
      </c>
      <c r="R715" s="93">
        <v>43178</v>
      </c>
      <c r="S715" s="93" t="s">
        <v>2737</v>
      </c>
    </row>
    <row r="716" spans="1:19">
      <c r="A716" s="92">
        <v>43179</v>
      </c>
      <c r="C716" s="1" t="s">
        <v>56</v>
      </c>
      <c r="E716" s="98" t="s">
        <v>1146</v>
      </c>
      <c r="F716" s="1" t="s">
        <v>1147</v>
      </c>
      <c r="G716" s="1" t="s">
        <v>2472</v>
      </c>
      <c r="H716" s="1">
        <v>1</v>
      </c>
      <c r="I716" s="1" t="s">
        <v>1131</v>
      </c>
      <c r="J716" s="1">
        <v>0.3</v>
      </c>
      <c r="K716" s="1" t="s">
        <v>1119</v>
      </c>
      <c r="L716" s="1" t="s">
        <v>110</v>
      </c>
      <c r="M716" s="1" t="s">
        <v>52</v>
      </c>
      <c r="N716" s="1" t="s">
        <v>63</v>
      </c>
      <c r="O716" s="1" t="s">
        <v>64</v>
      </c>
      <c r="P716" s="1" t="s">
        <v>111</v>
      </c>
      <c r="R716" s="93">
        <v>43179</v>
      </c>
      <c r="S716" s="93" t="s">
        <v>2737</v>
      </c>
    </row>
    <row r="717" spans="1:19">
      <c r="A717" s="92">
        <v>43179</v>
      </c>
      <c r="C717" s="1" t="s">
        <v>56</v>
      </c>
      <c r="E717" s="98" t="s">
        <v>1132</v>
      </c>
      <c r="F717" s="1" t="s">
        <v>1133</v>
      </c>
      <c r="G717" s="1" t="s">
        <v>2466</v>
      </c>
      <c r="H717" s="1">
        <v>2</v>
      </c>
      <c r="I717" s="1" t="s">
        <v>1131</v>
      </c>
      <c r="J717" s="1">
        <v>0.6</v>
      </c>
      <c r="K717" s="1" t="s">
        <v>577</v>
      </c>
      <c r="L717" s="1" t="s">
        <v>131</v>
      </c>
      <c r="M717" s="1" t="s">
        <v>132</v>
      </c>
      <c r="N717" s="1" t="s">
        <v>72</v>
      </c>
      <c r="O717" s="1" t="s">
        <v>64</v>
      </c>
      <c r="P717" s="1" t="s">
        <v>133</v>
      </c>
      <c r="R717" s="93">
        <v>43179</v>
      </c>
      <c r="S717" s="93" t="s">
        <v>2737</v>
      </c>
    </row>
    <row r="718" spans="1:19">
      <c r="A718" s="92">
        <v>43178</v>
      </c>
      <c r="C718" s="1" t="s">
        <v>66</v>
      </c>
      <c r="E718" s="98" t="s">
        <v>1148</v>
      </c>
      <c r="F718" s="1" t="s">
        <v>1149</v>
      </c>
      <c r="G718" s="1" t="s">
        <v>2473</v>
      </c>
      <c r="H718" s="1">
        <v>4</v>
      </c>
      <c r="I718" s="1" t="s">
        <v>1150</v>
      </c>
      <c r="J718" s="1">
        <v>6</v>
      </c>
      <c r="K718" s="1" t="s">
        <v>1149</v>
      </c>
      <c r="L718" s="1" t="s">
        <v>105</v>
      </c>
      <c r="M718" s="1" t="s">
        <v>62</v>
      </c>
      <c r="N718" s="1" t="s">
        <v>63</v>
      </c>
      <c r="O718" s="1" t="s">
        <v>64</v>
      </c>
      <c r="P718" s="1" t="s">
        <v>65</v>
      </c>
      <c r="R718" s="93">
        <v>43178</v>
      </c>
      <c r="S718" s="93" t="s">
        <v>2738</v>
      </c>
    </row>
    <row r="719" spans="1:19">
      <c r="A719" s="92">
        <v>43178</v>
      </c>
      <c r="C719" s="1" t="s">
        <v>56</v>
      </c>
      <c r="E719" s="98" t="s">
        <v>258</v>
      </c>
      <c r="F719" s="1" t="s">
        <v>259</v>
      </c>
      <c r="G719" s="1" t="s">
        <v>2131</v>
      </c>
      <c r="H719" s="1">
        <v>3.15</v>
      </c>
      <c r="I719" s="1" t="s">
        <v>1150</v>
      </c>
      <c r="J719" s="1">
        <v>4.7249999999999996</v>
      </c>
      <c r="K719" s="1" t="s">
        <v>127</v>
      </c>
      <c r="L719" s="1" t="s">
        <v>110</v>
      </c>
      <c r="M719" s="1" t="s">
        <v>52</v>
      </c>
      <c r="N719" s="1" t="s">
        <v>63</v>
      </c>
      <c r="O719" s="1" t="s">
        <v>64</v>
      </c>
      <c r="P719" s="1" t="s">
        <v>111</v>
      </c>
      <c r="R719" s="93">
        <v>43178</v>
      </c>
      <c r="S719" s="93" t="s">
        <v>2738</v>
      </c>
    </row>
    <row r="720" spans="1:19">
      <c r="A720" s="92">
        <v>43178</v>
      </c>
      <c r="C720" s="1" t="s">
        <v>56</v>
      </c>
      <c r="E720" s="98" t="s">
        <v>1151</v>
      </c>
      <c r="F720" s="1" t="s">
        <v>1152</v>
      </c>
      <c r="G720" s="1" t="s">
        <v>2474</v>
      </c>
      <c r="H720" s="1">
        <v>5</v>
      </c>
      <c r="I720" s="1" t="s">
        <v>1153</v>
      </c>
      <c r="J720" s="1">
        <v>3</v>
      </c>
      <c r="K720" s="1" t="s">
        <v>277</v>
      </c>
      <c r="L720" s="1" t="s">
        <v>269</v>
      </c>
      <c r="M720" s="1" t="s">
        <v>132</v>
      </c>
      <c r="N720" s="1" t="s">
        <v>72</v>
      </c>
      <c r="O720" s="1" t="s">
        <v>64</v>
      </c>
      <c r="P720" s="1" t="s">
        <v>133</v>
      </c>
      <c r="R720" s="93">
        <v>43178</v>
      </c>
      <c r="S720" s="93" t="s">
        <v>2739</v>
      </c>
    </row>
    <row r="721" spans="1:19">
      <c r="A721" s="92">
        <v>43178</v>
      </c>
      <c r="C721" s="1" t="s">
        <v>56</v>
      </c>
      <c r="E721" s="98" t="s">
        <v>412</v>
      </c>
      <c r="F721" s="1" t="s">
        <v>413</v>
      </c>
      <c r="G721" s="1" t="s">
        <v>2190</v>
      </c>
      <c r="H721" s="1">
        <v>3.26</v>
      </c>
      <c r="I721" s="1" t="s">
        <v>1153</v>
      </c>
      <c r="J721" s="1">
        <v>1.956</v>
      </c>
      <c r="K721" s="1" t="s">
        <v>167</v>
      </c>
      <c r="L721" s="1" t="s">
        <v>117</v>
      </c>
      <c r="M721" s="1" t="s">
        <v>2661</v>
      </c>
      <c r="N721" s="1" t="s">
        <v>72</v>
      </c>
      <c r="O721" s="1" t="s">
        <v>64</v>
      </c>
      <c r="P721" s="1" t="s">
        <v>53</v>
      </c>
      <c r="R721" s="93">
        <v>43178</v>
      </c>
      <c r="S721" s="93" t="s">
        <v>2739</v>
      </c>
    </row>
    <row r="722" spans="1:19">
      <c r="A722" s="92">
        <v>43178</v>
      </c>
      <c r="C722" s="1" t="s">
        <v>56</v>
      </c>
      <c r="E722" s="98" t="s">
        <v>1154</v>
      </c>
      <c r="F722" s="1" t="s">
        <v>1155</v>
      </c>
      <c r="G722" s="1" t="s">
        <v>2475</v>
      </c>
      <c r="H722" s="1">
        <v>3.2</v>
      </c>
      <c r="I722" s="1" t="s">
        <v>1153</v>
      </c>
      <c r="J722" s="1">
        <v>1.92</v>
      </c>
      <c r="K722" s="1" t="s">
        <v>1156</v>
      </c>
      <c r="L722" s="1" t="s">
        <v>150</v>
      </c>
      <c r="M722" s="1" t="s">
        <v>132</v>
      </c>
      <c r="N722" s="1" t="s">
        <v>72</v>
      </c>
      <c r="O722" s="1" t="s">
        <v>64</v>
      </c>
      <c r="P722" s="1" t="s">
        <v>133</v>
      </c>
      <c r="R722" s="93">
        <v>43178</v>
      </c>
      <c r="S722" s="93" t="s">
        <v>2739</v>
      </c>
    </row>
    <row r="723" spans="1:19">
      <c r="A723" s="92">
        <v>43178</v>
      </c>
      <c r="C723" s="1" t="s">
        <v>56</v>
      </c>
      <c r="E723" s="98" t="s">
        <v>1154</v>
      </c>
      <c r="F723" s="1" t="s">
        <v>1155</v>
      </c>
      <c r="G723" s="1" t="s">
        <v>2475</v>
      </c>
      <c r="H723" s="1">
        <v>0.8</v>
      </c>
      <c r="I723" s="1" t="s">
        <v>1153</v>
      </c>
      <c r="J723" s="1">
        <v>0.48</v>
      </c>
      <c r="K723" s="1" t="s">
        <v>1156</v>
      </c>
      <c r="L723" s="1" t="s">
        <v>150</v>
      </c>
      <c r="M723" s="1" t="s">
        <v>132</v>
      </c>
      <c r="N723" s="1" t="s">
        <v>72</v>
      </c>
      <c r="O723" s="1" t="s">
        <v>64</v>
      </c>
      <c r="P723" s="1" t="s">
        <v>133</v>
      </c>
      <c r="R723" s="93">
        <v>43178</v>
      </c>
      <c r="S723" s="93" t="s">
        <v>2739</v>
      </c>
    </row>
    <row r="724" spans="1:19">
      <c r="A724" s="92">
        <v>43178</v>
      </c>
      <c r="C724" s="1" t="s">
        <v>56</v>
      </c>
      <c r="E724" s="98" t="s">
        <v>1157</v>
      </c>
      <c r="F724" s="1" t="s">
        <v>1158</v>
      </c>
      <c r="G724" s="1" t="s">
        <v>2476</v>
      </c>
      <c r="H724" s="1">
        <v>13</v>
      </c>
      <c r="I724" s="1" t="s">
        <v>1159</v>
      </c>
      <c r="J724" s="1">
        <v>13</v>
      </c>
      <c r="K724" s="1" t="s">
        <v>496</v>
      </c>
      <c r="L724" s="1" t="s">
        <v>117</v>
      </c>
      <c r="M724" s="1" t="s">
        <v>2661</v>
      </c>
      <c r="N724" s="1" t="s">
        <v>72</v>
      </c>
      <c r="O724" s="1" t="s">
        <v>64</v>
      </c>
      <c r="P724" s="1" t="s">
        <v>53</v>
      </c>
      <c r="R724" s="93">
        <v>43178</v>
      </c>
      <c r="S724" s="93" t="s">
        <v>2740</v>
      </c>
    </row>
    <row r="725" spans="1:19">
      <c r="A725" s="92">
        <v>43178</v>
      </c>
      <c r="C725" s="1" t="s">
        <v>66</v>
      </c>
      <c r="E725" s="98" t="s">
        <v>1160</v>
      </c>
      <c r="F725" s="1" t="s">
        <v>1161</v>
      </c>
      <c r="G725" s="1" t="s">
        <v>2477</v>
      </c>
      <c r="H725" s="1">
        <v>1.5</v>
      </c>
      <c r="I725" s="1" t="s">
        <v>1159</v>
      </c>
      <c r="J725" s="1">
        <v>1.5</v>
      </c>
      <c r="K725" s="1" t="s">
        <v>239</v>
      </c>
      <c r="L725" s="1" t="s">
        <v>150</v>
      </c>
      <c r="M725" s="1" t="s">
        <v>132</v>
      </c>
      <c r="N725" s="1" t="s">
        <v>72</v>
      </c>
      <c r="O725" s="1" t="s">
        <v>64</v>
      </c>
      <c r="P725" s="1" t="s">
        <v>133</v>
      </c>
      <c r="R725" s="93">
        <v>43178</v>
      </c>
      <c r="S725" s="93" t="s">
        <v>2740</v>
      </c>
    </row>
    <row r="726" spans="1:19">
      <c r="A726" s="92">
        <v>43178</v>
      </c>
      <c r="C726" s="1" t="s">
        <v>56</v>
      </c>
      <c r="E726" s="98" t="s">
        <v>1134</v>
      </c>
      <c r="F726" s="1" t="s">
        <v>1135</v>
      </c>
      <c r="G726" s="1" t="s">
        <v>2467</v>
      </c>
      <c r="H726" s="1">
        <v>2</v>
      </c>
      <c r="I726" s="1" t="s">
        <v>1159</v>
      </c>
      <c r="J726" s="1">
        <v>2</v>
      </c>
      <c r="K726" s="1" t="s">
        <v>584</v>
      </c>
      <c r="L726" s="1" t="s">
        <v>216</v>
      </c>
      <c r="M726" s="1" t="s">
        <v>52</v>
      </c>
      <c r="N726" s="1" t="s">
        <v>63</v>
      </c>
      <c r="O726" s="1" t="s">
        <v>64</v>
      </c>
      <c r="P726" s="1" t="s">
        <v>111</v>
      </c>
      <c r="R726" s="93">
        <v>43178</v>
      </c>
      <c r="S726" s="93" t="s">
        <v>2740</v>
      </c>
    </row>
    <row r="727" spans="1:19">
      <c r="A727" s="92">
        <v>43178</v>
      </c>
      <c r="C727" s="1" t="s">
        <v>56</v>
      </c>
      <c r="E727" s="98" t="s">
        <v>1162</v>
      </c>
      <c r="F727" s="1" t="s">
        <v>1163</v>
      </c>
      <c r="G727" s="1" t="s">
        <v>1980</v>
      </c>
      <c r="H727" s="1">
        <v>11.3</v>
      </c>
      <c r="I727" s="1" t="s">
        <v>1159</v>
      </c>
      <c r="J727" s="1">
        <v>11.3</v>
      </c>
      <c r="K727" s="1" t="s">
        <v>89</v>
      </c>
      <c r="L727" s="1" t="s">
        <v>70</v>
      </c>
      <c r="M727" s="1" t="s">
        <v>71</v>
      </c>
      <c r="N727" s="1" t="s">
        <v>72</v>
      </c>
      <c r="O727" s="1" t="s">
        <v>64</v>
      </c>
      <c r="P727" s="1" t="s">
        <v>73</v>
      </c>
      <c r="R727" s="93">
        <v>43178</v>
      </c>
      <c r="S727" s="93" t="s">
        <v>2740</v>
      </c>
    </row>
    <row r="728" spans="1:19">
      <c r="A728" s="92">
        <v>43178</v>
      </c>
      <c r="C728" s="1" t="s">
        <v>56</v>
      </c>
      <c r="E728" s="98" t="s">
        <v>686</v>
      </c>
      <c r="F728" s="1" t="s">
        <v>687</v>
      </c>
      <c r="G728" s="1" t="s">
        <v>2293</v>
      </c>
      <c r="H728" s="1">
        <v>2.2599999999999998</v>
      </c>
      <c r="I728" s="1" t="s">
        <v>1159</v>
      </c>
      <c r="J728" s="1">
        <v>2.2599999999999998</v>
      </c>
      <c r="K728" s="1" t="s">
        <v>688</v>
      </c>
      <c r="L728" s="1" t="s">
        <v>131</v>
      </c>
      <c r="M728" s="1" t="s">
        <v>132</v>
      </c>
      <c r="N728" s="1" t="s">
        <v>72</v>
      </c>
      <c r="O728" s="1" t="s">
        <v>64</v>
      </c>
      <c r="P728" s="1" t="s">
        <v>133</v>
      </c>
      <c r="R728" s="93">
        <v>43178</v>
      </c>
      <c r="S728" s="93" t="s">
        <v>2740</v>
      </c>
    </row>
    <row r="729" spans="1:19">
      <c r="A729" s="92">
        <v>43178</v>
      </c>
      <c r="C729" s="1" t="s">
        <v>56</v>
      </c>
      <c r="E729" s="98" t="s">
        <v>1168</v>
      </c>
      <c r="F729" s="1" t="s">
        <v>1169</v>
      </c>
      <c r="G729" s="1" t="s">
        <v>2478</v>
      </c>
      <c r="H729" s="1">
        <v>2.2599999999999998</v>
      </c>
      <c r="I729" s="1" t="s">
        <v>1159</v>
      </c>
      <c r="J729" s="1">
        <v>2.2599999999999998</v>
      </c>
      <c r="K729" s="1" t="s">
        <v>312</v>
      </c>
      <c r="L729" s="1" t="s">
        <v>117</v>
      </c>
      <c r="M729" s="1" t="s">
        <v>2661</v>
      </c>
      <c r="N729" s="1" t="s">
        <v>72</v>
      </c>
      <c r="O729" s="1" t="s">
        <v>64</v>
      </c>
      <c r="P729" s="1" t="s">
        <v>53</v>
      </c>
      <c r="R729" s="93">
        <v>43178</v>
      </c>
      <c r="S729" s="93" t="s">
        <v>2740</v>
      </c>
    </row>
    <row r="730" spans="1:19">
      <c r="A730" s="92">
        <v>43178</v>
      </c>
      <c r="C730" s="1" t="s">
        <v>56</v>
      </c>
      <c r="E730" s="98" t="s">
        <v>483</v>
      </c>
      <c r="F730" s="1" t="s">
        <v>484</v>
      </c>
      <c r="G730" s="1" t="s">
        <v>2063</v>
      </c>
      <c r="H730" s="1">
        <v>2.8</v>
      </c>
      <c r="I730" s="1" t="s">
        <v>1159</v>
      </c>
      <c r="J730" s="1">
        <v>2.8</v>
      </c>
      <c r="K730" s="1" t="s">
        <v>70</v>
      </c>
      <c r="L730" s="1" t="s">
        <v>70</v>
      </c>
      <c r="M730" s="1" t="s">
        <v>71</v>
      </c>
      <c r="N730" s="1" t="s">
        <v>72</v>
      </c>
      <c r="O730" s="1" t="s">
        <v>64</v>
      </c>
      <c r="P730" s="1" t="s">
        <v>73</v>
      </c>
      <c r="R730" s="93">
        <v>43178</v>
      </c>
      <c r="S730" s="93" t="s">
        <v>2740</v>
      </c>
    </row>
    <row r="731" spans="1:19">
      <c r="A731" s="92">
        <v>43178</v>
      </c>
      <c r="C731" s="1" t="s">
        <v>56</v>
      </c>
      <c r="E731" s="98" t="s">
        <v>1134</v>
      </c>
      <c r="F731" s="1" t="s">
        <v>1135</v>
      </c>
      <c r="G731" s="1" t="s">
        <v>2467</v>
      </c>
      <c r="H731" s="1">
        <v>1</v>
      </c>
      <c r="I731" s="1" t="s">
        <v>1159</v>
      </c>
      <c r="J731" s="1">
        <v>1</v>
      </c>
      <c r="K731" s="1" t="s">
        <v>584</v>
      </c>
      <c r="L731" s="1" t="s">
        <v>216</v>
      </c>
      <c r="M731" s="1" t="s">
        <v>52</v>
      </c>
      <c r="N731" s="1" t="s">
        <v>63</v>
      </c>
      <c r="O731" s="1" t="s">
        <v>64</v>
      </c>
      <c r="P731" s="1" t="s">
        <v>111</v>
      </c>
      <c r="R731" s="93">
        <v>43178</v>
      </c>
      <c r="S731" s="93" t="s">
        <v>2740</v>
      </c>
    </row>
    <row r="732" spans="1:19">
      <c r="A732" s="92">
        <v>43178</v>
      </c>
      <c r="C732" s="1" t="s">
        <v>56</v>
      </c>
      <c r="E732" s="98" t="s">
        <v>1170</v>
      </c>
      <c r="F732" s="1" t="s">
        <v>1171</v>
      </c>
      <c r="G732" s="1" t="s">
        <v>2479</v>
      </c>
      <c r="H732" s="1">
        <v>4</v>
      </c>
      <c r="I732" s="1" t="s">
        <v>1159</v>
      </c>
      <c r="J732" s="1">
        <v>4</v>
      </c>
      <c r="K732" s="1" t="s">
        <v>167</v>
      </c>
      <c r="L732" s="1" t="s">
        <v>117</v>
      </c>
      <c r="M732" s="1" t="s">
        <v>2661</v>
      </c>
      <c r="N732" s="1" t="s">
        <v>72</v>
      </c>
      <c r="O732" s="1" t="s">
        <v>64</v>
      </c>
      <c r="P732" s="1" t="s">
        <v>53</v>
      </c>
      <c r="R732" s="93">
        <v>43178</v>
      </c>
      <c r="S732" s="93" t="s">
        <v>2740</v>
      </c>
    </row>
    <row r="733" spans="1:19">
      <c r="A733" s="92">
        <v>43178</v>
      </c>
      <c r="C733" s="1" t="s">
        <v>56</v>
      </c>
      <c r="E733" s="98" t="s">
        <v>1172</v>
      </c>
      <c r="F733" s="1" t="s">
        <v>1173</v>
      </c>
      <c r="G733" s="1" t="s">
        <v>2480</v>
      </c>
      <c r="H733" s="1">
        <v>5.5</v>
      </c>
      <c r="I733" s="1" t="s">
        <v>1159</v>
      </c>
      <c r="J733" s="1">
        <v>5.5</v>
      </c>
      <c r="K733" s="1" t="s">
        <v>149</v>
      </c>
      <c r="L733" s="1" t="s">
        <v>150</v>
      </c>
      <c r="M733" s="1" t="s">
        <v>132</v>
      </c>
      <c r="N733" s="1" t="s">
        <v>72</v>
      </c>
      <c r="O733" s="1" t="s">
        <v>64</v>
      </c>
      <c r="P733" s="1" t="s">
        <v>133</v>
      </c>
      <c r="R733" s="93">
        <v>43178</v>
      </c>
      <c r="S733" s="93" t="s">
        <v>2740</v>
      </c>
    </row>
    <row r="734" spans="1:19">
      <c r="A734" s="92">
        <v>43178</v>
      </c>
      <c r="C734" s="1" t="s">
        <v>56</v>
      </c>
      <c r="E734" s="98" t="s">
        <v>1174</v>
      </c>
      <c r="F734" s="1" t="s">
        <v>1175</v>
      </c>
      <c r="G734" s="1" t="s">
        <v>2481</v>
      </c>
      <c r="H734" s="1">
        <v>5</v>
      </c>
      <c r="I734" s="1" t="s">
        <v>1159</v>
      </c>
      <c r="J734" s="1">
        <v>5</v>
      </c>
      <c r="K734" s="1" t="s">
        <v>496</v>
      </c>
      <c r="L734" s="1" t="s">
        <v>117</v>
      </c>
      <c r="M734" s="1" t="s">
        <v>2661</v>
      </c>
      <c r="N734" s="1" t="s">
        <v>72</v>
      </c>
      <c r="O734" s="1" t="s">
        <v>64</v>
      </c>
      <c r="P734" s="1" t="s">
        <v>53</v>
      </c>
      <c r="R734" s="93">
        <v>43178</v>
      </c>
      <c r="S734" s="93" t="s">
        <v>2740</v>
      </c>
    </row>
    <row r="735" spans="1:19">
      <c r="A735" s="92">
        <v>43178</v>
      </c>
      <c r="C735" s="1" t="s">
        <v>66</v>
      </c>
      <c r="E735" s="98" t="s">
        <v>1138</v>
      </c>
      <c r="F735" s="1" t="s">
        <v>1139</v>
      </c>
      <c r="G735" s="1" t="s">
        <v>2468</v>
      </c>
      <c r="H735" s="1">
        <v>2</v>
      </c>
      <c r="I735" s="1" t="s">
        <v>1159</v>
      </c>
      <c r="J735" s="1">
        <v>2</v>
      </c>
      <c r="K735" s="1" t="s">
        <v>70</v>
      </c>
      <c r="L735" s="1" t="s">
        <v>70</v>
      </c>
      <c r="M735" s="1" t="s">
        <v>71</v>
      </c>
      <c r="N735" s="1" t="s">
        <v>72</v>
      </c>
      <c r="O735" s="1" t="s">
        <v>64</v>
      </c>
      <c r="P735" s="1" t="s">
        <v>73</v>
      </c>
      <c r="R735" s="93">
        <v>43178</v>
      </c>
      <c r="S735" s="93" t="s">
        <v>2740</v>
      </c>
    </row>
    <row r="736" spans="1:19">
      <c r="A736" s="92">
        <v>43178</v>
      </c>
      <c r="C736" s="1" t="s">
        <v>56</v>
      </c>
      <c r="E736" s="98" t="s">
        <v>1176</v>
      </c>
      <c r="F736" s="1" t="s">
        <v>1177</v>
      </c>
      <c r="G736" s="1" t="s">
        <v>2482</v>
      </c>
      <c r="H736" s="1">
        <v>3</v>
      </c>
      <c r="I736" s="1" t="s">
        <v>1159</v>
      </c>
      <c r="J736" s="1">
        <v>3</v>
      </c>
      <c r="K736" s="1" t="s">
        <v>277</v>
      </c>
      <c r="L736" s="1" t="s">
        <v>269</v>
      </c>
      <c r="M736" s="1" t="s">
        <v>132</v>
      </c>
      <c r="N736" s="1" t="s">
        <v>72</v>
      </c>
      <c r="O736" s="1" t="s">
        <v>64</v>
      </c>
      <c r="P736" s="1" t="s">
        <v>133</v>
      </c>
      <c r="R736" s="93">
        <v>43178</v>
      </c>
      <c r="S736" s="93" t="s">
        <v>2740</v>
      </c>
    </row>
    <row r="737" spans="1:19">
      <c r="A737" s="92">
        <v>43178</v>
      </c>
      <c r="C737" s="1" t="s">
        <v>56</v>
      </c>
      <c r="E737" s="98" t="s">
        <v>1180</v>
      </c>
      <c r="F737" s="1" t="s">
        <v>1181</v>
      </c>
      <c r="G737" s="1" t="s">
        <v>2483</v>
      </c>
      <c r="H737" s="1">
        <v>8</v>
      </c>
      <c r="I737" s="1" t="s">
        <v>1159</v>
      </c>
      <c r="J737" s="1">
        <v>8</v>
      </c>
      <c r="K737" s="1" t="s">
        <v>477</v>
      </c>
      <c r="L737" s="1" t="s">
        <v>85</v>
      </c>
      <c r="M737" s="1" t="s">
        <v>71</v>
      </c>
      <c r="N737" s="1" t="s">
        <v>72</v>
      </c>
      <c r="O737" s="1" t="s">
        <v>64</v>
      </c>
      <c r="P737" s="1" t="s">
        <v>73</v>
      </c>
      <c r="R737" s="93">
        <v>43178</v>
      </c>
      <c r="S737" s="93" t="s">
        <v>2740</v>
      </c>
    </row>
    <row r="738" spans="1:19">
      <c r="A738" s="92">
        <v>43178</v>
      </c>
      <c r="C738" s="1" t="s">
        <v>56</v>
      </c>
      <c r="E738" s="98" t="s">
        <v>1068</v>
      </c>
      <c r="F738" s="1" t="s">
        <v>1069</v>
      </c>
      <c r="G738" s="1" t="s">
        <v>2440</v>
      </c>
      <c r="H738" s="1">
        <v>3</v>
      </c>
      <c r="I738" s="1" t="s">
        <v>1159</v>
      </c>
      <c r="J738" s="1">
        <v>3</v>
      </c>
      <c r="K738" s="1" t="s">
        <v>149</v>
      </c>
      <c r="L738" s="1" t="s">
        <v>150</v>
      </c>
      <c r="M738" s="1" t="s">
        <v>132</v>
      </c>
      <c r="N738" s="1" t="s">
        <v>72</v>
      </c>
      <c r="O738" s="1" t="s">
        <v>64</v>
      </c>
      <c r="P738" s="1" t="s">
        <v>133</v>
      </c>
      <c r="R738" s="93">
        <v>43178</v>
      </c>
      <c r="S738" s="93" t="s">
        <v>2740</v>
      </c>
    </row>
    <row r="739" spans="1:19">
      <c r="A739" s="92">
        <v>43178</v>
      </c>
      <c r="C739" s="1" t="s">
        <v>66</v>
      </c>
      <c r="E739" s="98" t="s">
        <v>1182</v>
      </c>
      <c r="F739" s="1" t="s">
        <v>1183</v>
      </c>
      <c r="G739" s="1" t="s">
        <v>2484</v>
      </c>
      <c r="H739" s="1">
        <v>1</v>
      </c>
      <c r="I739" s="1" t="s">
        <v>1159</v>
      </c>
      <c r="J739" s="1">
        <v>1</v>
      </c>
      <c r="K739" s="1" t="s">
        <v>175</v>
      </c>
      <c r="L739" s="1" t="s">
        <v>131</v>
      </c>
      <c r="M739" s="1" t="s">
        <v>132</v>
      </c>
      <c r="N739" s="1" t="s">
        <v>72</v>
      </c>
      <c r="O739" s="1" t="s">
        <v>64</v>
      </c>
      <c r="P739" s="1" t="s">
        <v>133</v>
      </c>
      <c r="R739" s="93">
        <v>43178</v>
      </c>
      <c r="S739" s="93" t="s">
        <v>2740</v>
      </c>
    </row>
    <row r="740" spans="1:19">
      <c r="A740" s="92">
        <v>43179</v>
      </c>
      <c r="C740" s="1" t="s">
        <v>56</v>
      </c>
      <c r="E740" s="98" t="s">
        <v>1188</v>
      </c>
      <c r="F740" s="1" t="s">
        <v>1189</v>
      </c>
      <c r="G740" s="1" t="s">
        <v>2485</v>
      </c>
      <c r="H740" s="1">
        <v>5.5326029999999999</v>
      </c>
      <c r="I740" s="1" t="s">
        <v>1159</v>
      </c>
      <c r="J740" s="1">
        <v>5.5326029999999999</v>
      </c>
      <c r="K740" s="1" t="s">
        <v>136</v>
      </c>
      <c r="L740" s="1" t="s">
        <v>85</v>
      </c>
      <c r="M740" s="1" t="s">
        <v>71</v>
      </c>
      <c r="N740" s="1" t="s">
        <v>72</v>
      </c>
      <c r="O740" s="1" t="s">
        <v>64</v>
      </c>
      <c r="P740" s="1" t="s">
        <v>73</v>
      </c>
      <c r="R740" s="93">
        <v>43179</v>
      </c>
      <c r="S740" s="93" t="s">
        <v>2740</v>
      </c>
    </row>
    <row r="741" spans="1:19">
      <c r="A741" s="92">
        <v>43179</v>
      </c>
      <c r="C741" s="1" t="s">
        <v>56</v>
      </c>
      <c r="E741" s="98" t="s">
        <v>1190</v>
      </c>
      <c r="F741" s="1" t="s">
        <v>1191</v>
      </c>
      <c r="G741" s="1" t="s">
        <v>2486</v>
      </c>
      <c r="H741" s="1">
        <v>0.52</v>
      </c>
      <c r="I741" s="1" t="s">
        <v>1159</v>
      </c>
      <c r="J741" s="1">
        <v>0.52</v>
      </c>
      <c r="K741" s="1" t="s">
        <v>558</v>
      </c>
      <c r="L741" s="1" t="s">
        <v>110</v>
      </c>
      <c r="M741" s="1" t="s">
        <v>52</v>
      </c>
      <c r="N741" s="1" t="s">
        <v>63</v>
      </c>
      <c r="O741" s="1" t="s">
        <v>64</v>
      </c>
      <c r="P741" s="1" t="s">
        <v>111</v>
      </c>
      <c r="R741" s="93">
        <v>43179</v>
      </c>
      <c r="S741" s="93" t="s">
        <v>2740</v>
      </c>
    </row>
    <row r="742" spans="1:19">
      <c r="A742" s="92">
        <v>43179</v>
      </c>
      <c r="C742" s="1" t="s">
        <v>56</v>
      </c>
      <c r="E742" s="98" t="s">
        <v>1192</v>
      </c>
      <c r="F742" s="1" t="s">
        <v>1193</v>
      </c>
      <c r="G742" s="1" t="s">
        <v>2001</v>
      </c>
      <c r="H742" s="1">
        <v>5</v>
      </c>
      <c r="I742" s="1" t="s">
        <v>1159</v>
      </c>
      <c r="J742" s="1">
        <v>5</v>
      </c>
      <c r="K742" s="1" t="s">
        <v>461</v>
      </c>
      <c r="L742" s="1" t="s">
        <v>85</v>
      </c>
      <c r="M742" s="1" t="s">
        <v>71</v>
      </c>
      <c r="N742" s="1" t="s">
        <v>72</v>
      </c>
      <c r="O742" s="1" t="s">
        <v>64</v>
      </c>
      <c r="P742" s="1" t="s">
        <v>73</v>
      </c>
      <c r="R742" s="93">
        <v>43179</v>
      </c>
      <c r="S742" s="93" t="s">
        <v>2740</v>
      </c>
    </row>
    <row r="743" spans="1:19">
      <c r="A743" s="92">
        <v>43179</v>
      </c>
      <c r="C743" s="1" t="s">
        <v>56</v>
      </c>
      <c r="E743" s="98" t="s">
        <v>1194</v>
      </c>
      <c r="F743" s="1" t="s">
        <v>1195</v>
      </c>
      <c r="G743" s="1" t="s">
        <v>2487</v>
      </c>
      <c r="H743" s="1">
        <v>1</v>
      </c>
      <c r="I743" s="1" t="s">
        <v>1196</v>
      </c>
      <c r="J743" s="1">
        <v>1</v>
      </c>
      <c r="K743" s="1" t="s">
        <v>149</v>
      </c>
      <c r="L743" s="1" t="s">
        <v>150</v>
      </c>
      <c r="M743" s="1" t="s">
        <v>132</v>
      </c>
      <c r="N743" s="1" t="s">
        <v>72</v>
      </c>
      <c r="O743" s="1" t="s">
        <v>64</v>
      </c>
      <c r="P743" s="1" t="s">
        <v>133</v>
      </c>
      <c r="R743" s="93">
        <v>43179</v>
      </c>
      <c r="S743" s="93" t="s">
        <v>2741</v>
      </c>
    </row>
    <row r="744" spans="1:19">
      <c r="A744" s="92">
        <v>43179</v>
      </c>
      <c r="C744" s="1" t="s">
        <v>56</v>
      </c>
      <c r="E744" s="98" t="s">
        <v>1197</v>
      </c>
      <c r="F744" s="1" t="s">
        <v>1198</v>
      </c>
      <c r="G744" s="1" t="s">
        <v>2488</v>
      </c>
      <c r="H744" s="1">
        <v>0.33</v>
      </c>
      <c r="I744" s="1" t="s">
        <v>1196</v>
      </c>
      <c r="J744" s="1">
        <v>0.33</v>
      </c>
      <c r="K744" s="1" t="s">
        <v>192</v>
      </c>
      <c r="L744" s="1" t="s">
        <v>193</v>
      </c>
      <c r="M744" s="1" t="s">
        <v>62</v>
      </c>
      <c r="N744" s="1" t="s">
        <v>63</v>
      </c>
      <c r="O744" s="1" t="s">
        <v>64</v>
      </c>
      <c r="P744" s="1" t="s">
        <v>65</v>
      </c>
      <c r="R744" s="93">
        <v>43179</v>
      </c>
      <c r="S744" s="93" t="s">
        <v>2741</v>
      </c>
    </row>
    <row r="745" spans="1:19">
      <c r="A745" s="92">
        <v>43179</v>
      </c>
      <c r="C745" s="1" t="s">
        <v>56</v>
      </c>
      <c r="E745" s="98" t="s">
        <v>1199</v>
      </c>
      <c r="F745" s="1" t="s">
        <v>1200</v>
      </c>
      <c r="G745" s="1" t="s">
        <v>2489</v>
      </c>
      <c r="H745" s="1">
        <v>1</v>
      </c>
      <c r="I745" s="1" t="s">
        <v>1196</v>
      </c>
      <c r="J745" s="1">
        <v>1</v>
      </c>
      <c r="K745" s="1" t="s">
        <v>70</v>
      </c>
      <c r="L745" s="1" t="s">
        <v>70</v>
      </c>
      <c r="M745" s="1" t="s">
        <v>71</v>
      </c>
      <c r="N745" s="1" t="s">
        <v>72</v>
      </c>
      <c r="O745" s="1" t="s">
        <v>64</v>
      </c>
      <c r="P745" s="1" t="s">
        <v>73</v>
      </c>
      <c r="R745" s="93">
        <v>43179</v>
      </c>
      <c r="S745" s="93" t="s">
        <v>2741</v>
      </c>
    </row>
    <row r="746" spans="1:19">
      <c r="A746" s="92">
        <v>43179</v>
      </c>
      <c r="C746" s="1" t="s">
        <v>56</v>
      </c>
      <c r="E746" s="98" t="s">
        <v>1201</v>
      </c>
      <c r="F746" s="1" t="s">
        <v>1202</v>
      </c>
      <c r="G746" s="1" t="s">
        <v>2490</v>
      </c>
      <c r="H746" s="1">
        <v>7</v>
      </c>
      <c r="I746" s="1" t="s">
        <v>1196</v>
      </c>
      <c r="J746" s="1">
        <v>7</v>
      </c>
      <c r="K746" s="1" t="s">
        <v>117</v>
      </c>
      <c r="L746" s="1" t="s">
        <v>117</v>
      </c>
      <c r="M746" s="1" t="s">
        <v>2661</v>
      </c>
      <c r="N746" s="1" t="s">
        <v>72</v>
      </c>
      <c r="O746" s="1" t="s">
        <v>64</v>
      </c>
      <c r="P746" s="1" t="s">
        <v>53</v>
      </c>
      <c r="R746" s="93">
        <v>43179</v>
      </c>
      <c r="S746" s="93" t="s">
        <v>2741</v>
      </c>
    </row>
    <row r="747" spans="1:19">
      <c r="A747" s="92">
        <v>43179</v>
      </c>
      <c r="C747" s="1" t="s">
        <v>66</v>
      </c>
      <c r="E747" s="98" t="s">
        <v>1203</v>
      </c>
      <c r="F747" s="1" t="s">
        <v>1204</v>
      </c>
      <c r="G747" s="1" t="s">
        <v>2491</v>
      </c>
      <c r="H747" s="1">
        <v>8</v>
      </c>
      <c r="I747" s="1" t="s">
        <v>1196</v>
      </c>
      <c r="J747" s="1">
        <v>8</v>
      </c>
      <c r="K747" s="1" t="s">
        <v>124</v>
      </c>
      <c r="L747" s="1" t="s">
        <v>117</v>
      </c>
      <c r="M747" s="1" t="s">
        <v>2661</v>
      </c>
      <c r="N747" s="1" t="s">
        <v>72</v>
      </c>
      <c r="O747" s="1" t="s">
        <v>64</v>
      </c>
      <c r="P747" s="1" t="s">
        <v>53</v>
      </c>
      <c r="R747" s="93">
        <v>43179</v>
      </c>
      <c r="S747" s="93" t="s">
        <v>2741</v>
      </c>
    </row>
    <row r="748" spans="1:19">
      <c r="A748" s="92">
        <v>43179</v>
      </c>
      <c r="C748" s="1" t="s">
        <v>66</v>
      </c>
      <c r="E748" s="98" t="s">
        <v>970</v>
      </c>
      <c r="F748" s="1" t="s">
        <v>971</v>
      </c>
      <c r="G748" s="1" t="s">
        <v>2405</v>
      </c>
      <c r="H748" s="1">
        <v>1</v>
      </c>
      <c r="I748" s="1" t="s">
        <v>1196</v>
      </c>
      <c r="J748" s="1">
        <v>1</v>
      </c>
      <c r="K748" s="1" t="s">
        <v>563</v>
      </c>
      <c r="L748" s="1" t="s">
        <v>281</v>
      </c>
      <c r="M748" s="1" t="s">
        <v>71</v>
      </c>
      <c r="N748" s="1" t="s">
        <v>72</v>
      </c>
      <c r="O748" s="1" t="s">
        <v>64</v>
      </c>
      <c r="P748" s="1" t="s">
        <v>73</v>
      </c>
      <c r="R748" s="93">
        <v>43179</v>
      </c>
      <c r="S748" s="93" t="s">
        <v>2741</v>
      </c>
    </row>
    <row r="749" spans="1:19">
      <c r="A749" s="92">
        <v>43179</v>
      </c>
      <c r="C749" s="1" t="s">
        <v>56</v>
      </c>
      <c r="E749" s="98" t="s">
        <v>331</v>
      </c>
      <c r="F749" s="1" t="s">
        <v>332</v>
      </c>
      <c r="G749" s="1" t="s">
        <v>2161</v>
      </c>
      <c r="H749" s="1">
        <v>1</v>
      </c>
      <c r="I749" s="1" t="s">
        <v>1196</v>
      </c>
      <c r="J749" s="1">
        <v>1</v>
      </c>
      <c r="K749" s="1" t="s">
        <v>239</v>
      </c>
      <c r="L749" s="1" t="s">
        <v>150</v>
      </c>
      <c r="M749" s="1" t="s">
        <v>132</v>
      </c>
      <c r="N749" s="1" t="s">
        <v>72</v>
      </c>
      <c r="O749" s="1" t="s">
        <v>64</v>
      </c>
      <c r="P749" s="1" t="s">
        <v>133</v>
      </c>
      <c r="R749" s="93">
        <v>43179</v>
      </c>
      <c r="S749" s="93" t="s">
        <v>2741</v>
      </c>
    </row>
    <row r="750" spans="1:19">
      <c r="A750" s="92">
        <v>43179</v>
      </c>
      <c r="C750" s="1" t="s">
        <v>56</v>
      </c>
      <c r="E750" s="98" t="s">
        <v>1205</v>
      </c>
      <c r="F750" s="1" t="s">
        <v>1206</v>
      </c>
      <c r="G750" s="1" t="s">
        <v>2492</v>
      </c>
      <c r="H750" s="1">
        <v>3</v>
      </c>
      <c r="I750" s="1" t="s">
        <v>1196</v>
      </c>
      <c r="J750" s="1">
        <v>3</v>
      </c>
      <c r="K750" s="1" t="s">
        <v>1206</v>
      </c>
      <c r="L750" s="1" t="s">
        <v>281</v>
      </c>
      <c r="M750" s="1" t="s">
        <v>71</v>
      </c>
      <c r="N750" s="1" t="s">
        <v>72</v>
      </c>
      <c r="O750" s="1" t="s">
        <v>64</v>
      </c>
      <c r="P750" s="1" t="s">
        <v>73</v>
      </c>
      <c r="R750" s="93">
        <v>43179</v>
      </c>
      <c r="S750" s="93" t="s">
        <v>2741</v>
      </c>
    </row>
    <row r="751" spans="1:19">
      <c r="A751" s="92">
        <v>43180</v>
      </c>
      <c r="C751" s="1" t="s">
        <v>66</v>
      </c>
      <c r="E751" s="98" t="s">
        <v>1207</v>
      </c>
      <c r="F751" s="1" t="s">
        <v>1208</v>
      </c>
      <c r="G751" s="1" t="s">
        <v>2493</v>
      </c>
      <c r="H751" s="1">
        <v>0.01</v>
      </c>
      <c r="I751" s="1" t="s">
        <v>1196</v>
      </c>
      <c r="J751" s="1">
        <v>0.01</v>
      </c>
      <c r="K751" s="1" t="s">
        <v>175</v>
      </c>
      <c r="L751" s="1" t="s">
        <v>131</v>
      </c>
      <c r="M751" s="1" t="s">
        <v>132</v>
      </c>
      <c r="N751" s="1" t="s">
        <v>72</v>
      </c>
      <c r="O751" s="1" t="s">
        <v>64</v>
      </c>
      <c r="P751" s="1" t="s">
        <v>133</v>
      </c>
      <c r="R751" s="93">
        <v>43180</v>
      </c>
      <c r="S751" s="93" t="s">
        <v>2741</v>
      </c>
    </row>
    <row r="752" spans="1:19">
      <c r="A752" s="92">
        <v>43180</v>
      </c>
      <c r="C752" s="1" t="s">
        <v>56</v>
      </c>
      <c r="E752" s="98" t="s">
        <v>1209</v>
      </c>
      <c r="F752" s="1" t="s">
        <v>1210</v>
      </c>
      <c r="G752" s="1" t="s">
        <v>2494</v>
      </c>
      <c r="H752" s="1">
        <v>5</v>
      </c>
      <c r="I752" s="1" t="s">
        <v>1196</v>
      </c>
      <c r="J752" s="1">
        <v>5</v>
      </c>
      <c r="K752" s="1" t="s">
        <v>688</v>
      </c>
      <c r="L752" s="1" t="s">
        <v>131</v>
      </c>
      <c r="M752" s="1" t="s">
        <v>132</v>
      </c>
      <c r="N752" s="1" t="s">
        <v>72</v>
      </c>
      <c r="O752" s="1" t="s">
        <v>64</v>
      </c>
      <c r="P752" s="1" t="s">
        <v>133</v>
      </c>
      <c r="R752" s="93">
        <v>43180</v>
      </c>
      <c r="S752" s="93" t="s">
        <v>2741</v>
      </c>
    </row>
    <row r="753" spans="1:19">
      <c r="A753" s="92">
        <v>43179</v>
      </c>
      <c r="C753" s="1" t="s">
        <v>56</v>
      </c>
      <c r="E753" s="98" t="s">
        <v>1211</v>
      </c>
      <c r="F753" s="1" t="s">
        <v>1212</v>
      </c>
      <c r="G753" s="1" t="s">
        <v>2495</v>
      </c>
      <c r="H753" s="1">
        <v>2.04</v>
      </c>
      <c r="I753" s="1" t="s">
        <v>1213</v>
      </c>
      <c r="J753" s="1">
        <v>1.224</v>
      </c>
      <c r="K753" s="1" t="s">
        <v>619</v>
      </c>
      <c r="L753" s="1" t="s">
        <v>269</v>
      </c>
      <c r="M753" s="1" t="s">
        <v>132</v>
      </c>
      <c r="N753" s="1" t="s">
        <v>72</v>
      </c>
      <c r="O753" s="1" t="s">
        <v>64</v>
      </c>
      <c r="P753" s="1" t="s">
        <v>133</v>
      </c>
      <c r="R753" s="93">
        <v>43179</v>
      </c>
      <c r="S753" s="93" t="s">
        <v>2742</v>
      </c>
    </row>
    <row r="754" spans="1:19">
      <c r="A754" s="92">
        <v>43179</v>
      </c>
      <c r="C754" s="1" t="s">
        <v>56</v>
      </c>
      <c r="E754" s="98" t="s">
        <v>1214</v>
      </c>
      <c r="F754" s="1" t="s">
        <v>1215</v>
      </c>
      <c r="G754" s="1" t="s">
        <v>2496</v>
      </c>
      <c r="H754" s="1">
        <v>3</v>
      </c>
      <c r="I754" s="1" t="s">
        <v>1213</v>
      </c>
      <c r="J754" s="1">
        <v>1.8</v>
      </c>
      <c r="K754" s="1" t="s">
        <v>688</v>
      </c>
      <c r="L754" s="1" t="s">
        <v>131</v>
      </c>
      <c r="M754" s="1" t="s">
        <v>132</v>
      </c>
      <c r="N754" s="1" t="s">
        <v>72</v>
      </c>
      <c r="O754" s="1" t="s">
        <v>64</v>
      </c>
      <c r="P754" s="1" t="s">
        <v>133</v>
      </c>
      <c r="R754" s="93">
        <v>43179</v>
      </c>
      <c r="S754" s="93" t="s">
        <v>2742</v>
      </c>
    </row>
    <row r="755" spans="1:19">
      <c r="A755" s="92">
        <v>43179</v>
      </c>
      <c r="C755" s="1" t="s">
        <v>56</v>
      </c>
      <c r="E755" s="98" t="s">
        <v>1218</v>
      </c>
      <c r="F755" s="1" t="s">
        <v>1219</v>
      </c>
      <c r="G755" s="1" t="s">
        <v>2497</v>
      </c>
      <c r="H755" s="1">
        <v>0.3</v>
      </c>
      <c r="I755" s="1" t="s">
        <v>1213</v>
      </c>
      <c r="J755" s="1">
        <v>0.18</v>
      </c>
      <c r="K755" s="1" t="s">
        <v>252</v>
      </c>
      <c r="L755" s="1" t="s">
        <v>253</v>
      </c>
      <c r="M755" s="1" t="s">
        <v>94</v>
      </c>
      <c r="N755" s="1" t="s">
        <v>72</v>
      </c>
      <c r="O755" s="1" t="s">
        <v>64</v>
      </c>
      <c r="P755" s="1" t="s">
        <v>95</v>
      </c>
      <c r="R755" s="93">
        <v>43179</v>
      </c>
      <c r="S755" s="93" t="s">
        <v>2742</v>
      </c>
    </row>
    <row r="756" spans="1:19">
      <c r="A756" s="92">
        <v>43180</v>
      </c>
      <c r="C756" s="1" t="s">
        <v>56</v>
      </c>
      <c r="E756" s="98" t="s">
        <v>1220</v>
      </c>
      <c r="F756" s="1" t="s">
        <v>1221</v>
      </c>
      <c r="G756" s="1" t="s">
        <v>2498</v>
      </c>
      <c r="H756" s="1">
        <v>2</v>
      </c>
      <c r="I756" s="1" t="s">
        <v>1222</v>
      </c>
      <c r="J756" s="1">
        <v>2</v>
      </c>
      <c r="K756" s="1" t="s">
        <v>656</v>
      </c>
      <c r="L756" s="1" t="s">
        <v>105</v>
      </c>
      <c r="M756" s="1" t="s">
        <v>62</v>
      </c>
      <c r="N756" s="1" t="s">
        <v>63</v>
      </c>
      <c r="O756" s="1" t="s">
        <v>64</v>
      </c>
      <c r="P756" s="1" t="s">
        <v>65</v>
      </c>
      <c r="R756" s="93">
        <v>43180</v>
      </c>
      <c r="S756" s="93" t="s">
        <v>2741</v>
      </c>
    </row>
    <row r="757" spans="1:19">
      <c r="A757" s="92">
        <v>43179</v>
      </c>
      <c r="C757" s="1" t="s">
        <v>56</v>
      </c>
      <c r="E757" s="98" t="s">
        <v>275</v>
      </c>
      <c r="F757" s="1" t="s">
        <v>276</v>
      </c>
      <c r="G757" s="1" t="s">
        <v>2136</v>
      </c>
      <c r="H757" s="1">
        <v>5</v>
      </c>
      <c r="I757" s="1" t="s">
        <v>1223</v>
      </c>
      <c r="J757" s="1">
        <v>1.5</v>
      </c>
      <c r="K757" s="1" t="s">
        <v>277</v>
      </c>
      <c r="L757" s="1" t="s">
        <v>269</v>
      </c>
      <c r="M757" s="1" t="s">
        <v>132</v>
      </c>
      <c r="N757" s="1" t="s">
        <v>72</v>
      </c>
      <c r="O757" s="1" t="s">
        <v>64</v>
      </c>
      <c r="P757" s="1" t="s">
        <v>133</v>
      </c>
      <c r="R757" s="93">
        <v>43179</v>
      </c>
      <c r="S757" s="93" t="s">
        <v>2743</v>
      </c>
    </row>
    <row r="758" spans="1:19">
      <c r="A758" s="92">
        <v>43179</v>
      </c>
      <c r="C758" s="1" t="s">
        <v>56</v>
      </c>
      <c r="E758" s="98" t="s">
        <v>1226</v>
      </c>
      <c r="F758" s="1" t="s">
        <v>1227</v>
      </c>
      <c r="G758" s="1" t="s">
        <v>2032</v>
      </c>
      <c r="H758" s="1">
        <v>5.0999999999999996</v>
      </c>
      <c r="I758" s="1" t="s">
        <v>1223</v>
      </c>
      <c r="J758" s="1">
        <v>1.53</v>
      </c>
      <c r="K758" s="1" t="s">
        <v>144</v>
      </c>
      <c r="L758" s="1" t="s">
        <v>93</v>
      </c>
      <c r="M758" s="1" t="s">
        <v>94</v>
      </c>
      <c r="N758" s="1" t="s">
        <v>72</v>
      </c>
      <c r="O758" s="1" t="s">
        <v>64</v>
      </c>
      <c r="P758" s="1" t="s">
        <v>95</v>
      </c>
      <c r="R758" s="93">
        <v>43179</v>
      </c>
      <c r="S758" s="93" t="s">
        <v>2743</v>
      </c>
    </row>
    <row r="759" spans="1:19">
      <c r="A759" s="92">
        <v>43179</v>
      </c>
      <c r="C759" s="1" t="s">
        <v>66</v>
      </c>
      <c r="E759" s="98" t="s">
        <v>705</v>
      </c>
      <c r="F759" s="1" t="s">
        <v>706</v>
      </c>
      <c r="G759" s="1" t="s">
        <v>2301</v>
      </c>
      <c r="H759" s="1">
        <v>3</v>
      </c>
      <c r="I759" s="1" t="s">
        <v>1223</v>
      </c>
      <c r="J759" s="1">
        <v>0.9</v>
      </c>
      <c r="K759" s="1" t="s">
        <v>416</v>
      </c>
      <c r="L759" s="1" t="s">
        <v>193</v>
      </c>
      <c r="M759" s="1" t="s">
        <v>62</v>
      </c>
      <c r="N759" s="1" t="s">
        <v>63</v>
      </c>
      <c r="O759" s="1" t="s">
        <v>64</v>
      </c>
      <c r="P759" s="1" t="s">
        <v>65</v>
      </c>
      <c r="R759" s="93">
        <v>43179</v>
      </c>
      <c r="S759" s="93" t="s">
        <v>2743</v>
      </c>
    </row>
    <row r="760" spans="1:19">
      <c r="A760" s="92">
        <v>43179</v>
      </c>
      <c r="C760" s="1" t="s">
        <v>56</v>
      </c>
      <c r="E760" s="98" t="s">
        <v>1218</v>
      </c>
      <c r="F760" s="1" t="s">
        <v>1219</v>
      </c>
      <c r="G760" s="1" t="s">
        <v>2497</v>
      </c>
      <c r="H760" s="1">
        <v>0.26</v>
      </c>
      <c r="I760" s="1" t="s">
        <v>1223</v>
      </c>
      <c r="J760" s="1">
        <v>7.8E-2</v>
      </c>
      <c r="K760" s="1" t="s">
        <v>252</v>
      </c>
      <c r="L760" s="1" t="s">
        <v>253</v>
      </c>
      <c r="M760" s="1" t="s">
        <v>94</v>
      </c>
      <c r="N760" s="1" t="s">
        <v>72</v>
      </c>
      <c r="O760" s="1" t="s">
        <v>64</v>
      </c>
      <c r="P760" s="1" t="s">
        <v>95</v>
      </c>
      <c r="R760" s="93">
        <v>43179</v>
      </c>
      <c r="S760" s="93" t="s">
        <v>2743</v>
      </c>
    </row>
    <row r="761" spans="1:19">
      <c r="A761" s="92">
        <v>43179</v>
      </c>
      <c r="C761" s="1" t="s">
        <v>56</v>
      </c>
      <c r="E761" s="98" t="s">
        <v>1231</v>
      </c>
      <c r="F761" s="1" t="s">
        <v>1232</v>
      </c>
      <c r="G761" s="1" t="s">
        <v>2499</v>
      </c>
      <c r="H761" s="1">
        <v>12.769</v>
      </c>
      <c r="I761" s="1" t="s">
        <v>1223</v>
      </c>
      <c r="J761" s="1">
        <v>3.8307000000000002</v>
      </c>
      <c r="K761" s="1" t="s">
        <v>1233</v>
      </c>
      <c r="L761" s="1" t="s">
        <v>110</v>
      </c>
      <c r="M761" s="1" t="s">
        <v>52</v>
      </c>
      <c r="N761" s="1" t="s">
        <v>63</v>
      </c>
      <c r="O761" s="1" t="s">
        <v>64</v>
      </c>
      <c r="P761" s="1" t="s">
        <v>111</v>
      </c>
      <c r="R761" s="93">
        <v>43179</v>
      </c>
      <c r="S761" s="93" t="s">
        <v>2743</v>
      </c>
    </row>
    <row r="762" spans="1:19">
      <c r="A762" s="92">
        <v>43179</v>
      </c>
      <c r="C762" s="1" t="s">
        <v>66</v>
      </c>
      <c r="E762" s="98" t="s">
        <v>1234</v>
      </c>
      <c r="F762" s="1" t="s">
        <v>1235</v>
      </c>
      <c r="G762" s="1" t="s">
        <v>2500</v>
      </c>
      <c r="H762" s="1">
        <v>10</v>
      </c>
      <c r="I762" s="1" t="s">
        <v>1223</v>
      </c>
      <c r="J762" s="1">
        <v>3</v>
      </c>
      <c r="K762" s="1" t="s">
        <v>97</v>
      </c>
      <c r="L762" s="1" t="s">
        <v>93</v>
      </c>
      <c r="M762" s="1" t="s">
        <v>94</v>
      </c>
      <c r="N762" s="1" t="s">
        <v>72</v>
      </c>
      <c r="O762" s="1" t="s">
        <v>64</v>
      </c>
      <c r="P762" s="1" t="s">
        <v>95</v>
      </c>
      <c r="R762" s="93">
        <v>43179</v>
      </c>
      <c r="S762" s="93" t="s">
        <v>2743</v>
      </c>
    </row>
    <row r="763" spans="1:19">
      <c r="A763" s="92">
        <v>43180</v>
      </c>
      <c r="C763" s="1" t="s">
        <v>56</v>
      </c>
      <c r="E763" s="98" t="s">
        <v>1236</v>
      </c>
      <c r="F763" s="1" t="s">
        <v>1237</v>
      </c>
      <c r="G763" s="1" t="s">
        <v>2501</v>
      </c>
      <c r="H763" s="1">
        <v>24.25</v>
      </c>
      <c r="I763" s="1" t="s">
        <v>1223</v>
      </c>
      <c r="J763" s="1">
        <v>7.2750000000000004</v>
      </c>
      <c r="K763" s="1" t="s">
        <v>114</v>
      </c>
      <c r="L763" s="1" t="s">
        <v>85</v>
      </c>
      <c r="M763" s="1" t="s">
        <v>71</v>
      </c>
      <c r="N763" s="1" t="s">
        <v>72</v>
      </c>
      <c r="O763" s="1" t="s">
        <v>64</v>
      </c>
      <c r="P763" s="1" t="s">
        <v>73</v>
      </c>
      <c r="R763" s="93">
        <v>43180</v>
      </c>
      <c r="S763" s="93" t="s">
        <v>2743</v>
      </c>
    </row>
    <row r="764" spans="1:19">
      <c r="A764" s="92">
        <v>43180</v>
      </c>
      <c r="C764" s="1" t="s">
        <v>56</v>
      </c>
      <c r="E764" s="98" t="s">
        <v>1238</v>
      </c>
      <c r="F764" s="1" t="s">
        <v>1239</v>
      </c>
      <c r="G764" s="1" t="s">
        <v>2502</v>
      </c>
      <c r="H764" s="1">
        <v>8.11</v>
      </c>
      <c r="I764" s="1" t="s">
        <v>1223</v>
      </c>
      <c r="J764" s="1">
        <v>2.4329999999999998</v>
      </c>
      <c r="K764" s="1" t="s">
        <v>584</v>
      </c>
      <c r="L764" s="1" t="s">
        <v>216</v>
      </c>
      <c r="M764" s="1" t="s">
        <v>52</v>
      </c>
      <c r="N764" s="1" t="s">
        <v>63</v>
      </c>
      <c r="O764" s="1" t="s">
        <v>64</v>
      </c>
      <c r="P764" s="1" t="s">
        <v>111</v>
      </c>
      <c r="R764" s="93">
        <v>43180</v>
      </c>
      <c r="S764" s="93" t="s">
        <v>2743</v>
      </c>
    </row>
    <row r="765" spans="1:19">
      <c r="A765" s="92">
        <v>43180</v>
      </c>
      <c r="C765" s="1" t="s">
        <v>56</v>
      </c>
      <c r="E765" s="98" t="s">
        <v>792</v>
      </c>
      <c r="F765" s="1" t="s">
        <v>793</v>
      </c>
      <c r="G765" s="1" t="s">
        <v>2335</v>
      </c>
      <c r="H765" s="1">
        <v>8.24</v>
      </c>
      <c r="I765" s="1" t="s">
        <v>1223</v>
      </c>
      <c r="J765" s="1">
        <v>2.472</v>
      </c>
      <c r="K765" s="1" t="s">
        <v>167</v>
      </c>
      <c r="L765" s="1" t="s">
        <v>117</v>
      </c>
      <c r="M765" s="1" t="s">
        <v>2661</v>
      </c>
      <c r="N765" s="1" t="s">
        <v>72</v>
      </c>
      <c r="O765" s="1" t="s">
        <v>64</v>
      </c>
      <c r="P765" s="1" t="s">
        <v>53</v>
      </c>
      <c r="R765" s="93">
        <v>43180</v>
      </c>
      <c r="S765" s="93" t="s">
        <v>2743</v>
      </c>
    </row>
    <row r="766" spans="1:19">
      <c r="A766" s="92">
        <v>43180</v>
      </c>
      <c r="C766" s="1" t="s">
        <v>66</v>
      </c>
      <c r="E766" s="98" t="s">
        <v>1243</v>
      </c>
      <c r="F766" s="1" t="s">
        <v>1244</v>
      </c>
      <c r="G766" s="1" t="s">
        <v>2503</v>
      </c>
      <c r="H766" s="1">
        <v>3</v>
      </c>
      <c r="I766" s="1" t="s">
        <v>1242</v>
      </c>
      <c r="J766" s="1">
        <v>0.9</v>
      </c>
      <c r="K766" s="1" t="s">
        <v>124</v>
      </c>
      <c r="L766" s="1" t="s">
        <v>117</v>
      </c>
      <c r="M766" s="1" t="s">
        <v>2661</v>
      </c>
      <c r="N766" s="1" t="s">
        <v>72</v>
      </c>
      <c r="O766" s="1" t="s">
        <v>64</v>
      </c>
      <c r="P766" s="1" t="s">
        <v>53</v>
      </c>
      <c r="R766" s="93">
        <v>43180</v>
      </c>
      <c r="S766" s="93" t="s">
        <v>2744</v>
      </c>
    </row>
    <row r="767" spans="1:19">
      <c r="A767" s="92">
        <v>43180</v>
      </c>
      <c r="C767" s="1" t="s">
        <v>66</v>
      </c>
      <c r="E767" s="98" t="s">
        <v>1028</v>
      </c>
      <c r="F767" s="1" t="s">
        <v>1029</v>
      </c>
      <c r="G767" s="1" t="s">
        <v>2427</v>
      </c>
      <c r="H767" s="1">
        <v>1.26</v>
      </c>
      <c r="I767" s="1" t="s">
        <v>1242</v>
      </c>
      <c r="J767" s="1">
        <v>0.378</v>
      </c>
      <c r="K767" s="1" t="s">
        <v>242</v>
      </c>
      <c r="L767" s="1" t="s">
        <v>93</v>
      </c>
      <c r="M767" s="1" t="s">
        <v>94</v>
      </c>
      <c r="N767" s="1" t="s">
        <v>72</v>
      </c>
      <c r="O767" s="1" t="s">
        <v>64</v>
      </c>
      <c r="P767" s="1" t="s">
        <v>95</v>
      </c>
      <c r="R767" s="93">
        <v>43180</v>
      </c>
      <c r="S767" s="93" t="s">
        <v>2744</v>
      </c>
    </row>
    <row r="768" spans="1:19">
      <c r="A768" s="92">
        <v>43180</v>
      </c>
      <c r="C768" s="1" t="s">
        <v>66</v>
      </c>
      <c r="E768" s="98" t="s">
        <v>1028</v>
      </c>
      <c r="F768" s="1" t="s">
        <v>1029</v>
      </c>
      <c r="G768" s="1" t="s">
        <v>2427</v>
      </c>
      <c r="H768" s="1">
        <v>0.21</v>
      </c>
      <c r="I768" s="1" t="s">
        <v>1242</v>
      </c>
      <c r="J768" s="1">
        <v>6.3E-2</v>
      </c>
      <c r="K768" s="1" t="s">
        <v>242</v>
      </c>
      <c r="L768" s="1" t="s">
        <v>93</v>
      </c>
      <c r="M768" s="1" t="s">
        <v>94</v>
      </c>
      <c r="N768" s="1" t="s">
        <v>72</v>
      </c>
      <c r="O768" s="1" t="s">
        <v>64</v>
      </c>
      <c r="P768" s="1" t="s">
        <v>95</v>
      </c>
      <c r="R768" s="93">
        <v>43180</v>
      </c>
      <c r="S768" s="93" t="s">
        <v>2744</v>
      </c>
    </row>
    <row r="769" spans="1:19">
      <c r="A769" s="92">
        <v>43180</v>
      </c>
      <c r="C769" s="1" t="s">
        <v>66</v>
      </c>
      <c r="E769" s="98" t="s">
        <v>1028</v>
      </c>
      <c r="F769" s="1" t="s">
        <v>1029</v>
      </c>
      <c r="G769" s="1" t="s">
        <v>2427</v>
      </c>
      <c r="H769" s="1">
        <v>0.04</v>
      </c>
      <c r="I769" s="1" t="s">
        <v>1242</v>
      </c>
      <c r="J769" s="1">
        <v>1.2E-2</v>
      </c>
      <c r="K769" s="1" t="s">
        <v>242</v>
      </c>
      <c r="L769" s="1" t="s">
        <v>93</v>
      </c>
      <c r="M769" s="1" t="s">
        <v>94</v>
      </c>
      <c r="N769" s="1" t="s">
        <v>72</v>
      </c>
      <c r="O769" s="1" t="s">
        <v>64</v>
      </c>
      <c r="P769" s="1" t="s">
        <v>95</v>
      </c>
      <c r="R769" s="93">
        <v>43180</v>
      </c>
      <c r="S769" s="93" t="s">
        <v>2744</v>
      </c>
    </row>
    <row r="770" spans="1:19">
      <c r="A770" s="92">
        <v>43180</v>
      </c>
      <c r="C770" s="1" t="s">
        <v>56</v>
      </c>
      <c r="E770" s="98" t="s">
        <v>1115</v>
      </c>
      <c r="F770" s="1" t="s">
        <v>1116</v>
      </c>
      <c r="G770" s="1" t="s">
        <v>2459</v>
      </c>
      <c r="H770" s="1">
        <v>10</v>
      </c>
      <c r="I770" s="1" t="s">
        <v>1242</v>
      </c>
      <c r="J770" s="1">
        <v>3</v>
      </c>
      <c r="K770" s="1" t="s">
        <v>309</v>
      </c>
      <c r="L770" s="1" t="s">
        <v>150</v>
      </c>
      <c r="M770" s="1" t="s">
        <v>132</v>
      </c>
      <c r="N770" s="1" t="s">
        <v>72</v>
      </c>
      <c r="O770" s="1" t="s">
        <v>64</v>
      </c>
      <c r="P770" s="1" t="s">
        <v>133</v>
      </c>
      <c r="R770" s="93">
        <v>43180</v>
      </c>
      <c r="S770" s="93" t="s">
        <v>2744</v>
      </c>
    </row>
    <row r="771" spans="1:19">
      <c r="A771" s="92">
        <v>43181</v>
      </c>
      <c r="C771" s="1" t="s">
        <v>56</v>
      </c>
      <c r="E771" s="98" t="s">
        <v>1238</v>
      </c>
      <c r="F771" s="1" t="s">
        <v>1239</v>
      </c>
      <c r="G771" s="1" t="s">
        <v>2502</v>
      </c>
      <c r="H771" s="1">
        <v>3.48</v>
      </c>
      <c r="I771" s="1" t="s">
        <v>1242</v>
      </c>
      <c r="J771" s="1">
        <v>1.044</v>
      </c>
      <c r="K771" s="1" t="s">
        <v>584</v>
      </c>
      <c r="L771" s="1" t="s">
        <v>216</v>
      </c>
      <c r="M771" s="1" t="s">
        <v>52</v>
      </c>
      <c r="N771" s="1" t="s">
        <v>63</v>
      </c>
      <c r="O771" s="1" t="s">
        <v>64</v>
      </c>
      <c r="P771" s="1" t="s">
        <v>111</v>
      </c>
      <c r="R771" s="93">
        <v>43181</v>
      </c>
      <c r="S771" s="93" t="s">
        <v>2744</v>
      </c>
    </row>
    <row r="772" spans="1:19">
      <c r="A772" s="92">
        <v>43181</v>
      </c>
      <c r="C772" s="1" t="s">
        <v>56</v>
      </c>
      <c r="E772" s="98" t="s">
        <v>1249</v>
      </c>
      <c r="F772" s="1" t="s">
        <v>584</v>
      </c>
      <c r="G772" s="1" t="s">
        <v>2504</v>
      </c>
      <c r="H772" s="1">
        <v>1</v>
      </c>
      <c r="I772" s="1" t="s">
        <v>1242</v>
      </c>
      <c r="J772" s="1">
        <v>0.3</v>
      </c>
      <c r="K772" s="1" t="s">
        <v>584</v>
      </c>
      <c r="L772" s="1" t="s">
        <v>216</v>
      </c>
      <c r="M772" s="1" t="s">
        <v>52</v>
      </c>
      <c r="N772" s="1" t="s">
        <v>63</v>
      </c>
      <c r="O772" s="1" t="s">
        <v>64</v>
      </c>
      <c r="P772" s="1" t="s">
        <v>111</v>
      </c>
      <c r="R772" s="93">
        <v>43181</v>
      </c>
      <c r="S772" s="93" t="s">
        <v>2744</v>
      </c>
    </row>
    <row r="773" spans="1:19">
      <c r="A773" s="92">
        <v>43180</v>
      </c>
      <c r="C773" s="1" t="s">
        <v>66</v>
      </c>
      <c r="E773" s="98" t="s">
        <v>1250</v>
      </c>
      <c r="F773" s="1" t="s">
        <v>1251</v>
      </c>
      <c r="G773" s="1" t="s">
        <v>2505</v>
      </c>
      <c r="H773" s="1">
        <v>3</v>
      </c>
      <c r="I773" s="1" t="s">
        <v>1252</v>
      </c>
      <c r="J773" s="1">
        <v>4.5</v>
      </c>
      <c r="K773" s="1" t="s">
        <v>89</v>
      </c>
      <c r="L773" s="1" t="s">
        <v>70</v>
      </c>
      <c r="M773" s="1" t="s">
        <v>71</v>
      </c>
      <c r="N773" s="1" t="s">
        <v>72</v>
      </c>
      <c r="O773" s="1" t="s">
        <v>64</v>
      </c>
      <c r="P773" s="1" t="s">
        <v>73</v>
      </c>
      <c r="R773" s="93">
        <v>43180</v>
      </c>
      <c r="S773" s="93" t="s">
        <v>2745</v>
      </c>
    </row>
    <row r="774" spans="1:19">
      <c r="A774" s="92">
        <v>43180</v>
      </c>
      <c r="C774" s="1" t="s">
        <v>66</v>
      </c>
      <c r="E774" s="98" t="s">
        <v>1253</v>
      </c>
      <c r="F774" s="1" t="s">
        <v>1254</v>
      </c>
      <c r="G774" s="1" t="s">
        <v>2506</v>
      </c>
      <c r="H774" s="1">
        <v>2</v>
      </c>
      <c r="I774" s="1" t="s">
        <v>1252</v>
      </c>
      <c r="J774" s="1">
        <v>3</v>
      </c>
      <c r="K774" s="1" t="s">
        <v>89</v>
      </c>
      <c r="L774" s="1" t="s">
        <v>70</v>
      </c>
      <c r="M774" s="1" t="s">
        <v>71</v>
      </c>
      <c r="N774" s="1" t="s">
        <v>72</v>
      </c>
      <c r="O774" s="1" t="s">
        <v>64</v>
      </c>
      <c r="P774" s="1" t="s">
        <v>73</v>
      </c>
      <c r="R774" s="93">
        <v>43180</v>
      </c>
      <c r="S774" s="93" t="s">
        <v>2745</v>
      </c>
    </row>
    <row r="775" spans="1:19">
      <c r="A775" s="92">
        <v>43181</v>
      </c>
      <c r="C775" s="1" t="s">
        <v>56</v>
      </c>
      <c r="E775" s="98" t="s">
        <v>1255</v>
      </c>
      <c r="F775" s="1" t="s">
        <v>353</v>
      </c>
      <c r="G775" s="1" t="s">
        <v>2507</v>
      </c>
      <c r="H775" s="1">
        <v>2</v>
      </c>
      <c r="I775" s="1" t="s">
        <v>1252</v>
      </c>
      <c r="J775" s="1">
        <v>3</v>
      </c>
      <c r="K775" s="1" t="s">
        <v>353</v>
      </c>
      <c r="L775" s="1" t="s">
        <v>281</v>
      </c>
      <c r="M775" s="1" t="s">
        <v>71</v>
      </c>
      <c r="N775" s="1" t="s">
        <v>72</v>
      </c>
      <c r="O775" s="1" t="s">
        <v>64</v>
      </c>
      <c r="P775" s="1" t="s">
        <v>73</v>
      </c>
      <c r="R775" s="93">
        <v>43181</v>
      </c>
      <c r="S775" s="93" t="s">
        <v>2745</v>
      </c>
    </row>
    <row r="776" spans="1:19">
      <c r="A776" s="92">
        <v>43180</v>
      </c>
      <c r="C776" s="1" t="s">
        <v>56</v>
      </c>
      <c r="E776" s="98" t="s">
        <v>1256</v>
      </c>
      <c r="F776" s="1" t="s">
        <v>1257</v>
      </c>
      <c r="G776" s="1" t="s">
        <v>2508</v>
      </c>
      <c r="H776" s="1">
        <v>5</v>
      </c>
      <c r="I776" s="1" t="s">
        <v>1258</v>
      </c>
      <c r="J776" s="1">
        <v>3</v>
      </c>
      <c r="K776" s="1" t="s">
        <v>590</v>
      </c>
      <c r="L776" s="1" t="s">
        <v>85</v>
      </c>
      <c r="M776" s="1" t="s">
        <v>71</v>
      </c>
      <c r="N776" s="1" t="s">
        <v>72</v>
      </c>
      <c r="O776" s="1" t="s">
        <v>64</v>
      </c>
      <c r="P776" s="1" t="s">
        <v>73</v>
      </c>
      <c r="R776" s="93">
        <v>43180</v>
      </c>
      <c r="S776" s="93" t="s">
        <v>2746</v>
      </c>
    </row>
    <row r="777" spans="1:19">
      <c r="A777" s="92">
        <v>43180</v>
      </c>
      <c r="C777" s="1" t="s">
        <v>56</v>
      </c>
      <c r="E777" s="98" t="s">
        <v>1259</v>
      </c>
      <c r="F777" s="1" t="s">
        <v>1260</v>
      </c>
      <c r="G777" s="1" t="s">
        <v>2509</v>
      </c>
      <c r="H777" s="1">
        <v>2.0035620000000001</v>
      </c>
      <c r="I777" s="1" t="s">
        <v>1258</v>
      </c>
      <c r="J777" s="1">
        <v>1.202137</v>
      </c>
      <c r="K777" s="1" t="s">
        <v>437</v>
      </c>
      <c r="L777" s="1" t="s">
        <v>105</v>
      </c>
      <c r="M777" s="1" t="s">
        <v>62</v>
      </c>
      <c r="N777" s="1" t="s">
        <v>63</v>
      </c>
      <c r="O777" s="1" t="s">
        <v>64</v>
      </c>
      <c r="P777" s="1" t="s">
        <v>65</v>
      </c>
      <c r="R777" s="93">
        <v>43180</v>
      </c>
      <c r="S777" s="93" t="s">
        <v>2746</v>
      </c>
    </row>
    <row r="778" spans="1:19">
      <c r="A778" s="92">
        <v>43180</v>
      </c>
      <c r="C778" s="1" t="s">
        <v>66</v>
      </c>
      <c r="E778" s="98" t="s">
        <v>1261</v>
      </c>
      <c r="F778" s="1" t="s">
        <v>1262</v>
      </c>
      <c r="G778" s="1" t="s">
        <v>2510</v>
      </c>
      <c r="H778" s="1">
        <v>2</v>
      </c>
      <c r="I778" s="1" t="s">
        <v>1258</v>
      </c>
      <c r="J778" s="1">
        <v>1.2</v>
      </c>
      <c r="K778" s="1" t="s">
        <v>312</v>
      </c>
      <c r="L778" s="1" t="s">
        <v>117</v>
      </c>
      <c r="M778" s="1" t="s">
        <v>2661</v>
      </c>
      <c r="N778" s="1" t="s">
        <v>72</v>
      </c>
      <c r="O778" s="1" t="s">
        <v>64</v>
      </c>
      <c r="P778" s="1" t="s">
        <v>53</v>
      </c>
      <c r="R778" s="93">
        <v>43180</v>
      </c>
      <c r="S778" s="93" t="s">
        <v>2746</v>
      </c>
    </row>
    <row r="779" spans="1:19">
      <c r="A779" s="92">
        <v>43180</v>
      </c>
      <c r="C779" s="1" t="s">
        <v>56</v>
      </c>
      <c r="E779" s="98" t="s">
        <v>1162</v>
      </c>
      <c r="F779" s="1" t="s">
        <v>1163</v>
      </c>
      <c r="G779" s="1" t="s">
        <v>1980</v>
      </c>
      <c r="H779" s="1">
        <v>1</v>
      </c>
      <c r="I779" s="1" t="s">
        <v>1258</v>
      </c>
      <c r="J779" s="1">
        <v>0.6</v>
      </c>
      <c r="K779" s="1" t="s">
        <v>89</v>
      </c>
      <c r="L779" s="1" t="s">
        <v>70</v>
      </c>
      <c r="M779" s="1" t="s">
        <v>71</v>
      </c>
      <c r="N779" s="1" t="s">
        <v>72</v>
      </c>
      <c r="O779" s="1" t="s">
        <v>64</v>
      </c>
      <c r="P779" s="1" t="s">
        <v>73</v>
      </c>
      <c r="R779" s="93">
        <v>43180</v>
      </c>
      <c r="S779" s="93" t="s">
        <v>2746</v>
      </c>
    </row>
    <row r="780" spans="1:19">
      <c r="A780" s="92">
        <v>43180</v>
      </c>
      <c r="C780" s="1" t="s">
        <v>56</v>
      </c>
      <c r="E780" s="98" t="s">
        <v>643</v>
      </c>
      <c r="F780" s="1" t="s">
        <v>644</v>
      </c>
      <c r="G780" s="1" t="s">
        <v>2276</v>
      </c>
      <c r="H780" s="1">
        <v>2.2200000000000002</v>
      </c>
      <c r="I780" s="1" t="s">
        <v>1263</v>
      </c>
      <c r="J780" s="1">
        <v>2.2200000000000002</v>
      </c>
      <c r="K780" s="1" t="s">
        <v>175</v>
      </c>
      <c r="L780" s="1" t="s">
        <v>131</v>
      </c>
      <c r="M780" s="1" t="s">
        <v>132</v>
      </c>
      <c r="N780" s="1" t="s">
        <v>72</v>
      </c>
      <c r="O780" s="1" t="s">
        <v>64</v>
      </c>
      <c r="P780" s="1" t="s">
        <v>133</v>
      </c>
      <c r="R780" s="93">
        <v>43180</v>
      </c>
      <c r="S780" s="93" t="s">
        <v>2747</v>
      </c>
    </row>
    <row r="781" spans="1:19">
      <c r="A781" s="92">
        <v>43180</v>
      </c>
      <c r="C781" s="1" t="s">
        <v>66</v>
      </c>
      <c r="E781" s="98" t="s">
        <v>1264</v>
      </c>
      <c r="F781" s="1" t="s">
        <v>1265</v>
      </c>
      <c r="G781" s="1" t="s">
        <v>2511</v>
      </c>
      <c r="H781" s="1">
        <v>1.2</v>
      </c>
      <c r="I781" s="1" t="s">
        <v>1263</v>
      </c>
      <c r="J781" s="1">
        <v>1.2</v>
      </c>
      <c r="K781" s="1" t="s">
        <v>84</v>
      </c>
      <c r="L781" s="1" t="s">
        <v>85</v>
      </c>
      <c r="M781" s="1" t="s">
        <v>71</v>
      </c>
      <c r="N781" s="1" t="s">
        <v>72</v>
      </c>
      <c r="O781" s="1" t="s">
        <v>64</v>
      </c>
      <c r="P781" s="1" t="s">
        <v>73</v>
      </c>
      <c r="R781" s="93">
        <v>43180</v>
      </c>
      <c r="S781" s="93" t="s">
        <v>2747</v>
      </c>
    </row>
    <row r="782" spans="1:19">
      <c r="A782" s="92">
        <v>43180</v>
      </c>
      <c r="C782" s="1" t="s">
        <v>66</v>
      </c>
      <c r="E782" s="98" t="s">
        <v>1243</v>
      </c>
      <c r="F782" s="1" t="s">
        <v>1244</v>
      </c>
      <c r="G782" s="1" t="s">
        <v>2503</v>
      </c>
      <c r="H782" s="1">
        <v>15</v>
      </c>
      <c r="I782" s="1" t="s">
        <v>1263</v>
      </c>
      <c r="J782" s="1">
        <v>15</v>
      </c>
      <c r="K782" s="1" t="s">
        <v>124</v>
      </c>
      <c r="L782" s="1" t="s">
        <v>117</v>
      </c>
      <c r="M782" s="1" t="s">
        <v>2661</v>
      </c>
      <c r="N782" s="1" t="s">
        <v>72</v>
      </c>
      <c r="O782" s="1" t="s">
        <v>64</v>
      </c>
      <c r="P782" s="1" t="s">
        <v>53</v>
      </c>
      <c r="R782" s="93">
        <v>43180</v>
      </c>
      <c r="S782" s="93" t="s">
        <v>2747</v>
      </c>
    </row>
    <row r="783" spans="1:19">
      <c r="A783" s="92">
        <v>43180</v>
      </c>
      <c r="C783" s="1" t="s">
        <v>56</v>
      </c>
      <c r="E783" s="98" t="s">
        <v>559</v>
      </c>
      <c r="F783" s="1" t="s">
        <v>560</v>
      </c>
      <c r="G783" s="1" t="s">
        <v>2243</v>
      </c>
      <c r="H783" s="1">
        <v>3</v>
      </c>
      <c r="I783" s="1" t="s">
        <v>1263</v>
      </c>
      <c r="J783" s="1">
        <v>3</v>
      </c>
      <c r="K783" s="1" t="s">
        <v>277</v>
      </c>
      <c r="L783" s="1" t="s">
        <v>269</v>
      </c>
      <c r="M783" s="1" t="s">
        <v>132</v>
      </c>
      <c r="N783" s="1" t="s">
        <v>72</v>
      </c>
      <c r="O783" s="1" t="s">
        <v>64</v>
      </c>
      <c r="P783" s="1" t="s">
        <v>133</v>
      </c>
      <c r="R783" s="93">
        <v>43180</v>
      </c>
      <c r="S783" s="93" t="s">
        <v>2747</v>
      </c>
    </row>
    <row r="784" spans="1:19">
      <c r="A784" s="92">
        <v>43180</v>
      </c>
      <c r="C784" s="1" t="s">
        <v>66</v>
      </c>
      <c r="E784" s="98" t="s">
        <v>1266</v>
      </c>
      <c r="F784" s="1" t="s">
        <v>1267</v>
      </c>
      <c r="G784" s="1" t="s">
        <v>2512</v>
      </c>
      <c r="H784" s="1">
        <v>6</v>
      </c>
      <c r="I784" s="1" t="s">
        <v>1263</v>
      </c>
      <c r="J784" s="1">
        <v>6</v>
      </c>
      <c r="K784" s="1" t="s">
        <v>215</v>
      </c>
      <c r="L784" s="1" t="s">
        <v>216</v>
      </c>
      <c r="M784" s="1" t="s">
        <v>52</v>
      </c>
      <c r="N784" s="1" t="s">
        <v>63</v>
      </c>
      <c r="O784" s="1" t="s">
        <v>64</v>
      </c>
      <c r="P784" s="1" t="s">
        <v>111</v>
      </c>
      <c r="R784" s="93">
        <v>43180</v>
      </c>
      <c r="S784" s="93" t="s">
        <v>2747</v>
      </c>
    </row>
    <row r="785" spans="1:19">
      <c r="A785" s="92">
        <v>43180</v>
      </c>
      <c r="C785" s="1" t="s">
        <v>56</v>
      </c>
      <c r="E785" s="98" t="s">
        <v>1268</v>
      </c>
      <c r="F785" s="1" t="s">
        <v>1269</v>
      </c>
      <c r="G785" s="1" t="s">
        <v>2513</v>
      </c>
      <c r="H785" s="1">
        <v>6.78</v>
      </c>
      <c r="I785" s="1" t="s">
        <v>1263</v>
      </c>
      <c r="J785" s="1">
        <v>6.78</v>
      </c>
      <c r="K785" s="1" t="s">
        <v>403</v>
      </c>
      <c r="L785" s="1" t="s">
        <v>216</v>
      </c>
      <c r="M785" s="1" t="s">
        <v>52</v>
      </c>
      <c r="N785" s="1" t="s">
        <v>63</v>
      </c>
      <c r="O785" s="1" t="s">
        <v>64</v>
      </c>
      <c r="P785" s="1" t="s">
        <v>111</v>
      </c>
      <c r="R785" s="93">
        <v>43180</v>
      </c>
      <c r="S785" s="93" t="s">
        <v>2747</v>
      </c>
    </row>
    <row r="786" spans="1:19">
      <c r="A786" s="92">
        <v>43180</v>
      </c>
      <c r="C786" s="1" t="s">
        <v>66</v>
      </c>
      <c r="E786" s="98" t="s">
        <v>1270</v>
      </c>
      <c r="F786" s="1" t="s">
        <v>1271</v>
      </c>
      <c r="G786" s="1" t="s">
        <v>2514</v>
      </c>
      <c r="H786" s="1">
        <v>0.01</v>
      </c>
      <c r="I786" s="1" t="s">
        <v>1263</v>
      </c>
      <c r="J786" s="1">
        <v>0.01</v>
      </c>
      <c r="K786" s="1" t="s">
        <v>136</v>
      </c>
      <c r="L786" s="1" t="s">
        <v>85</v>
      </c>
      <c r="M786" s="1" t="s">
        <v>71</v>
      </c>
      <c r="N786" s="1" t="s">
        <v>72</v>
      </c>
      <c r="O786" s="1" t="s">
        <v>64</v>
      </c>
      <c r="P786" s="1" t="s">
        <v>73</v>
      </c>
      <c r="R786" s="93">
        <v>43180</v>
      </c>
      <c r="S786" s="93" t="s">
        <v>2747</v>
      </c>
    </row>
    <row r="787" spans="1:19">
      <c r="A787" s="92">
        <v>43181</v>
      </c>
      <c r="C787" s="1" t="s">
        <v>66</v>
      </c>
      <c r="E787" s="98" t="s">
        <v>1272</v>
      </c>
      <c r="F787" s="1" t="s">
        <v>1273</v>
      </c>
      <c r="G787" s="1" t="s">
        <v>2515</v>
      </c>
      <c r="H787" s="1">
        <v>5</v>
      </c>
      <c r="I787" s="1" t="s">
        <v>1274</v>
      </c>
      <c r="J787" s="1">
        <v>5</v>
      </c>
      <c r="K787" s="1" t="s">
        <v>149</v>
      </c>
      <c r="L787" s="1" t="s">
        <v>150</v>
      </c>
      <c r="M787" s="1" t="s">
        <v>132</v>
      </c>
      <c r="N787" s="1" t="s">
        <v>72</v>
      </c>
      <c r="O787" s="1" t="s">
        <v>64</v>
      </c>
      <c r="P787" s="1" t="s">
        <v>133</v>
      </c>
      <c r="R787" s="93">
        <v>43181</v>
      </c>
      <c r="S787" s="93" t="s">
        <v>2748</v>
      </c>
    </row>
    <row r="788" spans="1:19">
      <c r="A788" s="92">
        <v>43181</v>
      </c>
      <c r="C788" s="1" t="s">
        <v>56</v>
      </c>
      <c r="E788" s="98" t="s">
        <v>303</v>
      </c>
      <c r="F788" s="1" t="s">
        <v>206</v>
      </c>
      <c r="G788" s="1" t="s">
        <v>2148</v>
      </c>
      <c r="H788" s="1">
        <v>11.3</v>
      </c>
      <c r="I788" s="1" t="s">
        <v>1274</v>
      </c>
      <c r="J788" s="1">
        <v>11.3</v>
      </c>
      <c r="K788" s="1" t="s">
        <v>206</v>
      </c>
      <c r="L788" s="1" t="s">
        <v>70</v>
      </c>
      <c r="M788" s="1" t="s">
        <v>71</v>
      </c>
      <c r="N788" s="1" t="s">
        <v>72</v>
      </c>
      <c r="O788" s="1" t="s">
        <v>64</v>
      </c>
      <c r="P788" s="1" t="s">
        <v>73</v>
      </c>
      <c r="R788" s="93">
        <v>43181</v>
      </c>
      <c r="S788" s="93" t="s">
        <v>2748</v>
      </c>
    </row>
    <row r="789" spans="1:19">
      <c r="A789" s="92">
        <v>43181</v>
      </c>
      <c r="C789" s="1" t="s">
        <v>56</v>
      </c>
      <c r="E789" s="98" t="s">
        <v>1275</v>
      </c>
      <c r="F789" s="1" t="s">
        <v>1276</v>
      </c>
      <c r="G789" s="1" t="s">
        <v>2516</v>
      </c>
      <c r="H789" s="1">
        <v>2.2599999999999998</v>
      </c>
      <c r="I789" s="1" t="s">
        <v>1274</v>
      </c>
      <c r="J789" s="1">
        <v>2.2599999999999998</v>
      </c>
      <c r="K789" s="1" t="s">
        <v>312</v>
      </c>
      <c r="L789" s="1" t="s">
        <v>117</v>
      </c>
      <c r="M789" s="1" t="s">
        <v>2661</v>
      </c>
      <c r="N789" s="1" t="s">
        <v>72</v>
      </c>
      <c r="O789" s="1" t="s">
        <v>64</v>
      </c>
      <c r="P789" s="1" t="s">
        <v>53</v>
      </c>
      <c r="R789" s="93">
        <v>43181</v>
      </c>
      <c r="S789" s="93" t="s">
        <v>2748</v>
      </c>
    </row>
    <row r="790" spans="1:19">
      <c r="A790" s="92">
        <v>43181</v>
      </c>
      <c r="C790" s="1" t="s">
        <v>56</v>
      </c>
      <c r="E790" s="98" t="s">
        <v>541</v>
      </c>
      <c r="F790" s="1" t="s">
        <v>542</v>
      </c>
      <c r="G790" s="1" t="s">
        <v>2079</v>
      </c>
      <c r="H790" s="1">
        <v>1</v>
      </c>
      <c r="I790" s="1" t="s">
        <v>1274</v>
      </c>
      <c r="J790" s="1">
        <v>1</v>
      </c>
      <c r="K790" s="1" t="s">
        <v>172</v>
      </c>
      <c r="L790" s="1" t="s">
        <v>131</v>
      </c>
      <c r="M790" s="1" t="s">
        <v>132</v>
      </c>
      <c r="N790" s="1" t="s">
        <v>72</v>
      </c>
      <c r="O790" s="1" t="s">
        <v>64</v>
      </c>
      <c r="P790" s="1" t="s">
        <v>133</v>
      </c>
      <c r="R790" s="93">
        <v>43181</v>
      </c>
      <c r="S790" s="93" t="s">
        <v>2748</v>
      </c>
    </row>
    <row r="791" spans="1:19">
      <c r="A791" s="92">
        <v>43181</v>
      </c>
      <c r="C791" s="1" t="s">
        <v>56</v>
      </c>
      <c r="E791" s="98" t="s">
        <v>1104</v>
      </c>
      <c r="F791" s="1" t="s">
        <v>1105</v>
      </c>
      <c r="G791" s="1" t="s">
        <v>2457</v>
      </c>
      <c r="H791" s="1">
        <v>3</v>
      </c>
      <c r="I791" s="1" t="s">
        <v>1274</v>
      </c>
      <c r="J791" s="1">
        <v>3</v>
      </c>
      <c r="K791" s="1" t="s">
        <v>312</v>
      </c>
      <c r="L791" s="1" t="s">
        <v>117</v>
      </c>
      <c r="M791" s="1" t="s">
        <v>2661</v>
      </c>
      <c r="N791" s="1" t="s">
        <v>72</v>
      </c>
      <c r="O791" s="1" t="s">
        <v>64</v>
      </c>
      <c r="P791" s="1" t="s">
        <v>53</v>
      </c>
      <c r="R791" s="93">
        <v>43181</v>
      </c>
      <c r="S791" s="93" t="s">
        <v>2748</v>
      </c>
    </row>
    <row r="792" spans="1:19">
      <c r="A792" s="92">
        <v>43181</v>
      </c>
      <c r="C792" s="1" t="s">
        <v>56</v>
      </c>
      <c r="E792" s="98" t="s">
        <v>1278</v>
      </c>
      <c r="F792" s="1" t="s">
        <v>1279</v>
      </c>
      <c r="G792" s="1" t="s">
        <v>2517</v>
      </c>
      <c r="H792" s="1">
        <v>3</v>
      </c>
      <c r="I792" s="1" t="s">
        <v>1274</v>
      </c>
      <c r="J792" s="1">
        <v>3</v>
      </c>
      <c r="K792" s="1" t="s">
        <v>172</v>
      </c>
      <c r="L792" s="1" t="s">
        <v>131</v>
      </c>
      <c r="M792" s="1" t="s">
        <v>132</v>
      </c>
      <c r="N792" s="1" t="s">
        <v>72</v>
      </c>
      <c r="O792" s="1" t="s">
        <v>64</v>
      </c>
      <c r="P792" s="1" t="s">
        <v>133</v>
      </c>
      <c r="R792" s="93">
        <v>43181</v>
      </c>
      <c r="S792" s="93" t="s">
        <v>2748</v>
      </c>
    </row>
    <row r="793" spans="1:19">
      <c r="A793" s="92">
        <v>43181</v>
      </c>
      <c r="C793" s="1" t="s">
        <v>56</v>
      </c>
      <c r="E793" s="98" t="s">
        <v>1104</v>
      </c>
      <c r="F793" s="1" t="s">
        <v>1105</v>
      </c>
      <c r="G793" s="1" t="s">
        <v>2457</v>
      </c>
      <c r="H793" s="1">
        <v>2</v>
      </c>
      <c r="I793" s="1" t="s">
        <v>1274</v>
      </c>
      <c r="J793" s="1">
        <v>2</v>
      </c>
      <c r="K793" s="1" t="s">
        <v>312</v>
      </c>
      <c r="L793" s="1" t="s">
        <v>117</v>
      </c>
      <c r="M793" s="1" t="s">
        <v>2661</v>
      </c>
      <c r="N793" s="1" t="s">
        <v>72</v>
      </c>
      <c r="O793" s="1" t="s">
        <v>64</v>
      </c>
      <c r="P793" s="1" t="s">
        <v>53</v>
      </c>
      <c r="R793" s="93">
        <v>43181</v>
      </c>
      <c r="S793" s="93" t="s">
        <v>2748</v>
      </c>
    </row>
    <row r="794" spans="1:19">
      <c r="A794" s="92">
        <v>43181</v>
      </c>
      <c r="C794" s="1" t="s">
        <v>56</v>
      </c>
      <c r="E794" s="98" t="s">
        <v>1280</v>
      </c>
      <c r="F794" s="1" t="s">
        <v>1281</v>
      </c>
      <c r="G794" s="1" t="s">
        <v>2518</v>
      </c>
      <c r="H794" s="1">
        <v>1</v>
      </c>
      <c r="I794" s="1" t="s">
        <v>1274</v>
      </c>
      <c r="J794" s="1">
        <v>1</v>
      </c>
      <c r="K794" s="1" t="s">
        <v>150</v>
      </c>
      <c r="L794" s="1" t="s">
        <v>150</v>
      </c>
      <c r="M794" s="1" t="s">
        <v>132</v>
      </c>
      <c r="N794" s="1" t="s">
        <v>72</v>
      </c>
      <c r="O794" s="1" t="s">
        <v>64</v>
      </c>
      <c r="P794" s="1" t="s">
        <v>133</v>
      </c>
      <c r="R794" s="93">
        <v>43181</v>
      </c>
      <c r="S794" s="93" t="s">
        <v>2748</v>
      </c>
    </row>
    <row r="795" spans="1:19">
      <c r="A795" s="92">
        <v>43181</v>
      </c>
      <c r="C795" s="1" t="s">
        <v>66</v>
      </c>
      <c r="E795" s="98" t="s">
        <v>1282</v>
      </c>
      <c r="F795" s="1" t="s">
        <v>1283</v>
      </c>
      <c r="G795" s="1" t="s">
        <v>2519</v>
      </c>
      <c r="H795" s="1">
        <v>7</v>
      </c>
      <c r="I795" s="1" t="s">
        <v>1274</v>
      </c>
      <c r="J795" s="1">
        <v>7</v>
      </c>
      <c r="K795" s="1" t="s">
        <v>70</v>
      </c>
      <c r="L795" s="1" t="s">
        <v>70</v>
      </c>
      <c r="M795" s="1" t="s">
        <v>71</v>
      </c>
      <c r="N795" s="1" t="s">
        <v>72</v>
      </c>
      <c r="O795" s="1" t="s">
        <v>64</v>
      </c>
      <c r="P795" s="1" t="s">
        <v>73</v>
      </c>
      <c r="R795" s="93">
        <v>43181</v>
      </c>
      <c r="S795" s="93" t="s">
        <v>2748</v>
      </c>
    </row>
    <row r="796" spans="1:19">
      <c r="A796" s="92">
        <v>43181</v>
      </c>
      <c r="C796" s="1" t="s">
        <v>66</v>
      </c>
      <c r="E796" s="98" t="s">
        <v>1282</v>
      </c>
      <c r="F796" s="1" t="s">
        <v>1283</v>
      </c>
      <c r="G796" s="1" t="s">
        <v>2519</v>
      </c>
      <c r="H796" s="1">
        <v>7</v>
      </c>
      <c r="I796" s="1" t="s">
        <v>1274</v>
      </c>
      <c r="J796" s="1">
        <v>7</v>
      </c>
      <c r="K796" s="1" t="s">
        <v>70</v>
      </c>
      <c r="L796" s="1" t="s">
        <v>70</v>
      </c>
      <c r="M796" s="1" t="s">
        <v>71</v>
      </c>
      <c r="N796" s="1" t="s">
        <v>72</v>
      </c>
      <c r="O796" s="1" t="s">
        <v>64</v>
      </c>
      <c r="P796" s="1" t="s">
        <v>73</v>
      </c>
      <c r="R796" s="93">
        <v>43181</v>
      </c>
      <c r="S796" s="93" t="s">
        <v>2748</v>
      </c>
    </row>
    <row r="797" spans="1:19">
      <c r="A797" s="92">
        <v>43181</v>
      </c>
      <c r="C797" s="1" t="s">
        <v>66</v>
      </c>
      <c r="E797" s="98" t="s">
        <v>1282</v>
      </c>
      <c r="F797" s="1" t="s">
        <v>1283</v>
      </c>
      <c r="G797" s="1" t="s">
        <v>2519</v>
      </c>
      <c r="H797" s="1">
        <v>1</v>
      </c>
      <c r="I797" s="1" t="s">
        <v>1274</v>
      </c>
      <c r="J797" s="1">
        <v>1</v>
      </c>
      <c r="K797" s="1" t="s">
        <v>70</v>
      </c>
      <c r="L797" s="1" t="s">
        <v>70</v>
      </c>
      <c r="M797" s="1" t="s">
        <v>71</v>
      </c>
      <c r="N797" s="1" t="s">
        <v>72</v>
      </c>
      <c r="O797" s="1" t="s">
        <v>64</v>
      </c>
      <c r="P797" s="1" t="s">
        <v>73</v>
      </c>
      <c r="R797" s="93">
        <v>43181</v>
      </c>
      <c r="S797" s="93" t="s">
        <v>2748</v>
      </c>
    </row>
    <row r="798" spans="1:19">
      <c r="A798" s="92">
        <v>43182</v>
      </c>
      <c r="C798" s="1" t="s">
        <v>56</v>
      </c>
      <c r="E798" s="98" t="s">
        <v>513</v>
      </c>
      <c r="F798" s="1" t="s">
        <v>514</v>
      </c>
      <c r="G798" s="1" t="s">
        <v>2228</v>
      </c>
      <c r="H798" s="1">
        <v>2.213041</v>
      </c>
      <c r="I798" s="1" t="s">
        <v>1274</v>
      </c>
      <c r="J798" s="1">
        <v>2.213041</v>
      </c>
      <c r="K798" s="1" t="s">
        <v>172</v>
      </c>
      <c r="L798" s="1" t="s">
        <v>131</v>
      </c>
      <c r="M798" s="1" t="s">
        <v>132</v>
      </c>
      <c r="N798" s="1" t="s">
        <v>72</v>
      </c>
      <c r="O798" s="1" t="s">
        <v>64</v>
      </c>
      <c r="P798" s="1" t="s">
        <v>133</v>
      </c>
      <c r="R798" s="93">
        <v>43182</v>
      </c>
      <c r="S798" s="93" t="s">
        <v>2748</v>
      </c>
    </row>
    <row r="799" spans="1:19">
      <c r="A799" s="92">
        <v>43182</v>
      </c>
      <c r="C799" s="1" t="s">
        <v>56</v>
      </c>
      <c r="E799" s="98" t="s">
        <v>1285</v>
      </c>
      <c r="F799" s="1" t="s">
        <v>1286</v>
      </c>
      <c r="G799" s="1" t="s">
        <v>2520</v>
      </c>
      <c r="H799" s="1">
        <v>2.213041</v>
      </c>
      <c r="I799" s="1" t="s">
        <v>1274</v>
      </c>
      <c r="J799" s="1">
        <v>2.213041</v>
      </c>
      <c r="K799" s="1" t="s">
        <v>215</v>
      </c>
      <c r="L799" s="1" t="s">
        <v>216</v>
      </c>
      <c r="M799" s="1" t="s">
        <v>52</v>
      </c>
      <c r="N799" s="1" t="s">
        <v>63</v>
      </c>
      <c r="O799" s="1" t="s">
        <v>64</v>
      </c>
      <c r="P799" s="1" t="s">
        <v>111</v>
      </c>
      <c r="R799" s="93">
        <v>43182</v>
      </c>
      <c r="S799" s="93" t="s">
        <v>2748</v>
      </c>
    </row>
    <row r="800" spans="1:19">
      <c r="A800" s="92">
        <v>43182</v>
      </c>
      <c r="C800" s="1" t="s">
        <v>56</v>
      </c>
      <c r="E800" s="98" t="s">
        <v>876</v>
      </c>
      <c r="F800" s="1" t="s">
        <v>877</v>
      </c>
      <c r="G800" s="1" t="s">
        <v>2367</v>
      </c>
      <c r="H800" s="1">
        <v>2.213041</v>
      </c>
      <c r="I800" s="1" t="s">
        <v>1274</v>
      </c>
      <c r="J800" s="1">
        <v>2.213041</v>
      </c>
      <c r="K800" s="1" t="s">
        <v>155</v>
      </c>
      <c r="L800" s="1" t="s">
        <v>70</v>
      </c>
      <c r="M800" s="1" t="s">
        <v>71</v>
      </c>
      <c r="N800" s="1" t="s">
        <v>72</v>
      </c>
      <c r="O800" s="1" t="s">
        <v>64</v>
      </c>
      <c r="P800" s="1" t="s">
        <v>73</v>
      </c>
      <c r="R800" s="93">
        <v>43182</v>
      </c>
      <c r="S800" s="93" t="s">
        <v>2748</v>
      </c>
    </row>
    <row r="801" spans="1:19">
      <c r="A801" s="92">
        <v>43182</v>
      </c>
      <c r="C801" s="1" t="s">
        <v>56</v>
      </c>
      <c r="E801" s="98" t="s">
        <v>1287</v>
      </c>
      <c r="F801" s="1" t="s">
        <v>172</v>
      </c>
      <c r="G801" s="1" t="s">
        <v>2521</v>
      </c>
      <c r="H801" s="1">
        <v>0.5</v>
      </c>
      <c r="I801" s="1" t="s">
        <v>1274</v>
      </c>
      <c r="J801" s="1">
        <v>0.5</v>
      </c>
      <c r="K801" s="1" t="s">
        <v>172</v>
      </c>
      <c r="L801" s="1" t="s">
        <v>131</v>
      </c>
      <c r="M801" s="1" t="s">
        <v>132</v>
      </c>
      <c r="N801" s="1" t="s">
        <v>72</v>
      </c>
      <c r="O801" s="1" t="s">
        <v>64</v>
      </c>
      <c r="P801" s="1" t="s">
        <v>133</v>
      </c>
      <c r="R801" s="93">
        <v>43182</v>
      </c>
      <c r="S801" s="93" t="s">
        <v>2748</v>
      </c>
    </row>
    <row r="802" spans="1:19">
      <c r="A802" s="92">
        <v>43181</v>
      </c>
      <c r="C802" s="1" t="s">
        <v>56</v>
      </c>
      <c r="E802" s="98" t="s">
        <v>541</v>
      </c>
      <c r="F802" s="1" t="s">
        <v>542</v>
      </c>
      <c r="G802" s="1" t="s">
        <v>2079</v>
      </c>
      <c r="H802" s="1">
        <v>1.3</v>
      </c>
      <c r="I802" s="1" t="s">
        <v>1288</v>
      </c>
      <c r="J802" s="1">
        <v>0.78</v>
      </c>
      <c r="K802" s="1" t="s">
        <v>172</v>
      </c>
      <c r="L802" s="1" t="s">
        <v>131</v>
      </c>
      <c r="M802" s="1" t="s">
        <v>132</v>
      </c>
      <c r="N802" s="1" t="s">
        <v>72</v>
      </c>
      <c r="O802" s="1" t="s">
        <v>64</v>
      </c>
      <c r="P802" s="1" t="s">
        <v>133</v>
      </c>
      <c r="R802" s="93">
        <v>43181</v>
      </c>
      <c r="S802" s="93" t="s">
        <v>2749</v>
      </c>
    </row>
    <row r="803" spans="1:19">
      <c r="A803" s="92">
        <v>43181</v>
      </c>
      <c r="C803" s="1" t="s">
        <v>56</v>
      </c>
      <c r="E803" s="98" t="s">
        <v>643</v>
      </c>
      <c r="F803" s="1" t="s">
        <v>644</v>
      </c>
      <c r="G803" s="1" t="s">
        <v>2276</v>
      </c>
      <c r="H803" s="1">
        <v>1.5</v>
      </c>
      <c r="I803" s="1" t="s">
        <v>1288</v>
      </c>
      <c r="J803" s="1">
        <v>0.9</v>
      </c>
      <c r="K803" s="1" t="s">
        <v>175</v>
      </c>
      <c r="L803" s="1" t="s">
        <v>131</v>
      </c>
      <c r="M803" s="1" t="s">
        <v>132</v>
      </c>
      <c r="N803" s="1" t="s">
        <v>72</v>
      </c>
      <c r="O803" s="1" t="s">
        <v>64</v>
      </c>
      <c r="P803" s="1" t="s">
        <v>133</v>
      </c>
      <c r="R803" s="93">
        <v>43181</v>
      </c>
      <c r="S803" s="93" t="s">
        <v>2749</v>
      </c>
    </row>
    <row r="804" spans="1:19">
      <c r="A804" s="92">
        <v>43181</v>
      </c>
      <c r="C804" s="1" t="s">
        <v>56</v>
      </c>
      <c r="E804" s="98" t="s">
        <v>1104</v>
      </c>
      <c r="F804" s="1" t="s">
        <v>1105</v>
      </c>
      <c r="G804" s="1" t="s">
        <v>2457</v>
      </c>
      <c r="H804" s="1">
        <v>0.16</v>
      </c>
      <c r="I804" s="1" t="s">
        <v>1288</v>
      </c>
      <c r="J804" s="1">
        <v>9.6000000000000002E-2</v>
      </c>
      <c r="K804" s="1" t="s">
        <v>312</v>
      </c>
      <c r="L804" s="1" t="s">
        <v>117</v>
      </c>
      <c r="M804" s="1" t="s">
        <v>2661</v>
      </c>
      <c r="N804" s="1" t="s">
        <v>72</v>
      </c>
      <c r="O804" s="1" t="s">
        <v>64</v>
      </c>
      <c r="P804" s="1" t="s">
        <v>53</v>
      </c>
      <c r="R804" s="93">
        <v>43181</v>
      </c>
      <c r="S804" s="93" t="s">
        <v>2749</v>
      </c>
    </row>
    <row r="805" spans="1:19">
      <c r="A805" s="92">
        <v>43181</v>
      </c>
      <c r="C805" s="1" t="s">
        <v>56</v>
      </c>
      <c r="E805" s="98" t="s">
        <v>1070</v>
      </c>
      <c r="F805" s="1" t="s">
        <v>1071</v>
      </c>
      <c r="G805" s="1" t="s">
        <v>2441</v>
      </c>
      <c r="H805" s="1">
        <v>3.19</v>
      </c>
      <c r="I805" s="1" t="s">
        <v>1288</v>
      </c>
      <c r="J805" s="1">
        <v>1.9139999999999999</v>
      </c>
      <c r="K805" s="1" t="s">
        <v>312</v>
      </c>
      <c r="L805" s="1" t="s">
        <v>117</v>
      </c>
      <c r="M805" s="1" t="s">
        <v>2661</v>
      </c>
      <c r="N805" s="1" t="s">
        <v>72</v>
      </c>
      <c r="O805" s="1" t="s">
        <v>64</v>
      </c>
      <c r="P805" s="1" t="s">
        <v>53</v>
      </c>
      <c r="R805" s="93">
        <v>43181</v>
      </c>
      <c r="S805" s="93" t="s">
        <v>2749</v>
      </c>
    </row>
    <row r="806" spans="1:19">
      <c r="A806" s="92">
        <v>43182</v>
      </c>
      <c r="C806" s="1" t="s">
        <v>56</v>
      </c>
      <c r="E806" s="98" t="s">
        <v>1289</v>
      </c>
      <c r="F806" s="1" t="s">
        <v>1290</v>
      </c>
      <c r="G806" s="1" t="s">
        <v>2522</v>
      </c>
      <c r="H806" s="1">
        <v>0.3</v>
      </c>
      <c r="I806" s="1" t="s">
        <v>1288</v>
      </c>
      <c r="J806" s="1">
        <v>0.18</v>
      </c>
      <c r="K806" s="1" t="s">
        <v>70</v>
      </c>
      <c r="L806" s="1" t="s">
        <v>70</v>
      </c>
      <c r="M806" s="1" t="s">
        <v>71</v>
      </c>
      <c r="N806" s="1" t="s">
        <v>72</v>
      </c>
      <c r="O806" s="1" t="s">
        <v>64</v>
      </c>
      <c r="P806" s="1" t="s">
        <v>73</v>
      </c>
      <c r="R806" s="93">
        <v>43182</v>
      </c>
      <c r="S806" s="93" t="s">
        <v>2749</v>
      </c>
    </row>
    <row r="807" spans="1:19">
      <c r="A807" s="92">
        <v>43181</v>
      </c>
      <c r="C807" s="1" t="s">
        <v>66</v>
      </c>
      <c r="E807" s="98" t="s">
        <v>1294</v>
      </c>
      <c r="F807" s="1" t="s">
        <v>1295</v>
      </c>
      <c r="G807" s="1" t="s">
        <v>2523</v>
      </c>
      <c r="H807" s="1">
        <v>1</v>
      </c>
      <c r="I807" s="1" t="s">
        <v>1296</v>
      </c>
      <c r="J807" s="1">
        <v>0.3</v>
      </c>
      <c r="K807" s="1" t="s">
        <v>563</v>
      </c>
      <c r="L807" s="1" t="s">
        <v>281</v>
      </c>
      <c r="M807" s="1" t="s">
        <v>71</v>
      </c>
      <c r="N807" s="1" t="s">
        <v>72</v>
      </c>
      <c r="O807" s="1" t="s">
        <v>64</v>
      </c>
      <c r="P807" s="1" t="s">
        <v>73</v>
      </c>
      <c r="R807" s="93">
        <v>43181</v>
      </c>
      <c r="S807" s="93" t="s">
        <v>2750</v>
      </c>
    </row>
    <row r="808" spans="1:19">
      <c r="A808" s="92">
        <v>43181</v>
      </c>
      <c r="C808" s="1" t="s">
        <v>56</v>
      </c>
      <c r="E808" s="98" t="s">
        <v>1297</v>
      </c>
      <c r="F808" s="1" t="s">
        <v>1298</v>
      </c>
      <c r="G808" s="1" t="s">
        <v>2524</v>
      </c>
      <c r="H808" s="1">
        <v>4</v>
      </c>
      <c r="I808" s="1" t="s">
        <v>1296</v>
      </c>
      <c r="J808" s="1">
        <v>1.2</v>
      </c>
      <c r="K808" s="1" t="s">
        <v>226</v>
      </c>
      <c r="L808" s="1" t="s">
        <v>117</v>
      </c>
      <c r="M808" s="1" t="s">
        <v>2661</v>
      </c>
      <c r="N808" s="1" t="s">
        <v>72</v>
      </c>
      <c r="O808" s="1" t="s">
        <v>64</v>
      </c>
      <c r="P808" s="1" t="s">
        <v>53</v>
      </c>
      <c r="R808" s="93">
        <v>43181</v>
      </c>
      <c r="S808" s="93" t="s">
        <v>2750</v>
      </c>
    </row>
    <row r="809" spans="1:19">
      <c r="A809" s="92">
        <v>43181</v>
      </c>
      <c r="C809" s="1" t="s">
        <v>56</v>
      </c>
      <c r="E809" s="98" t="s">
        <v>382</v>
      </c>
      <c r="F809" s="1" t="s">
        <v>150</v>
      </c>
      <c r="G809" s="1" t="s">
        <v>2179</v>
      </c>
      <c r="H809" s="1">
        <v>9.1</v>
      </c>
      <c r="I809" s="1" t="s">
        <v>1296</v>
      </c>
      <c r="J809" s="1">
        <v>2.73</v>
      </c>
      <c r="K809" s="1" t="s">
        <v>150</v>
      </c>
      <c r="L809" s="1" t="s">
        <v>150</v>
      </c>
      <c r="M809" s="1" t="s">
        <v>132</v>
      </c>
      <c r="N809" s="1" t="s">
        <v>72</v>
      </c>
      <c r="O809" s="1" t="s">
        <v>64</v>
      </c>
      <c r="P809" s="1" t="s">
        <v>133</v>
      </c>
      <c r="R809" s="93">
        <v>43181</v>
      </c>
      <c r="S809" s="93" t="s">
        <v>2750</v>
      </c>
    </row>
    <row r="810" spans="1:19">
      <c r="A810" s="92">
        <v>43181</v>
      </c>
      <c r="C810" s="1" t="s">
        <v>56</v>
      </c>
      <c r="E810" s="98" t="s">
        <v>817</v>
      </c>
      <c r="F810" s="1" t="s">
        <v>818</v>
      </c>
      <c r="G810" s="1" t="s">
        <v>2343</v>
      </c>
      <c r="H810" s="1">
        <v>4</v>
      </c>
      <c r="I810" s="1" t="s">
        <v>1296</v>
      </c>
      <c r="J810" s="1">
        <v>1.2</v>
      </c>
      <c r="K810" s="1" t="s">
        <v>434</v>
      </c>
      <c r="L810" s="1" t="s">
        <v>269</v>
      </c>
      <c r="M810" s="1" t="s">
        <v>132</v>
      </c>
      <c r="N810" s="1" t="s">
        <v>72</v>
      </c>
      <c r="O810" s="1" t="s">
        <v>64</v>
      </c>
      <c r="P810" s="1" t="s">
        <v>133</v>
      </c>
      <c r="R810" s="93">
        <v>43181</v>
      </c>
      <c r="S810" s="93" t="s">
        <v>2750</v>
      </c>
    </row>
    <row r="811" spans="1:19">
      <c r="A811" s="92">
        <v>43181</v>
      </c>
      <c r="C811" s="1" t="s">
        <v>66</v>
      </c>
      <c r="E811" s="98" t="s">
        <v>128</v>
      </c>
      <c r="F811" s="1" t="s">
        <v>129</v>
      </c>
      <c r="G811" s="1" t="s">
        <v>2096</v>
      </c>
      <c r="H811" s="1">
        <v>1</v>
      </c>
      <c r="I811" s="1" t="s">
        <v>1296</v>
      </c>
      <c r="J811" s="1">
        <v>0.3</v>
      </c>
      <c r="K811" s="1" t="s">
        <v>130</v>
      </c>
      <c r="L811" s="1" t="s">
        <v>131</v>
      </c>
      <c r="M811" s="1" t="s">
        <v>132</v>
      </c>
      <c r="N811" s="1" t="s">
        <v>72</v>
      </c>
      <c r="O811" s="1" t="s">
        <v>64</v>
      </c>
      <c r="P811" s="1" t="s">
        <v>133</v>
      </c>
      <c r="R811" s="93">
        <v>43181</v>
      </c>
      <c r="S811" s="93" t="s">
        <v>2750</v>
      </c>
    </row>
    <row r="812" spans="1:19">
      <c r="A812" s="92">
        <v>43181</v>
      </c>
      <c r="C812" s="1" t="s">
        <v>66</v>
      </c>
      <c r="E812" s="98" t="s">
        <v>1234</v>
      </c>
      <c r="F812" s="1" t="s">
        <v>1235</v>
      </c>
      <c r="G812" s="1" t="s">
        <v>2500</v>
      </c>
      <c r="H812" s="1">
        <v>20</v>
      </c>
      <c r="I812" s="1" t="s">
        <v>1296</v>
      </c>
      <c r="J812" s="1">
        <v>6</v>
      </c>
      <c r="K812" s="1" t="s">
        <v>97</v>
      </c>
      <c r="L812" s="1" t="s">
        <v>93</v>
      </c>
      <c r="M812" s="1" t="s">
        <v>94</v>
      </c>
      <c r="N812" s="1" t="s">
        <v>72</v>
      </c>
      <c r="O812" s="1" t="s">
        <v>64</v>
      </c>
      <c r="P812" s="1" t="s">
        <v>95</v>
      </c>
      <c r="R812" s="93">
        <v>43181</v>
      </c>
      <c r="S812" s="93" t="s">
        <v>2750</v>
      </c>
    </row>
    <row r="813" spans="1:19">
      <c r="A813" s="92">
        <v>43181</v>
      </c>
      <c r="C813" s="1" t="s">
        <v>56</v>
      </c>
      <c r="E813" s="98" t="s">
        <v>1299</v>
      </c>
      <c r="F813" s="1" t="s">
        <v>1300</v>
      </c>
      <c r="G813" s="1" t="s">
        <v>2525</v>
      </c>
      <c r="H813" s="1">
        <v>3</v>
      </c>
      <c r="I813" s="1" t="s">
        <v>1296</v>
      </c>
      <c r="J813" s="1">
        <v>0.9</v>
      </c>
      <c r="K813" s="1" t="s">
        <v>212</v>
      </c>
      <c r="L813" s="1" t="s">
        <v>150</v>
      </c>
      <c r="M813" s="1" t="s">
        <v>132</v>
      </c>
      <c r="N813" s="1" t="s">
        <v>72</v>
      </c>
      <c r="O813" s="1" t="s">
        <v>64</v>
      </c>
      <c r="P813" s="1" t="s">
        <v>133</v>
      </c>
      <c r="R813" s="93">
        <v>43181</v>
      </c>
      <c r="S813" s="93" t="s">
        <v>2750</v>
      </c>
    </row>
    <row r="814" spans="1:19">
      <c r="A814" s="92">
        <v>43181</v>
      </c>
      <c r="C814" s="1" t="s">
        <v>56</v>
      </c>
      <c r="E814" s="98" t="s">
        <v>1070</v>
      </c>
      <c r="F814" s="1" t="s">
        <v>1071</v>
      </c>
      <c r="G814" s="1" t="s">
        <v>2441</v>
      </c>
      <c r="H814" s="1">
        <v>5</v>
      </c>
      <c r="I814" s="1" t="s">
        <v>1296</v>
      </c>
      <c r="J814" s="1">
        <v>1.5</v>
      </c>
      <c r="K814" s="1" t="s">
        <v>312</v>
      </c>
      <c r="L814" s="1" t="s">
        <v>117</v>
      </c>
      <c r="M814" s="1" t="s">
        <v>2661</v>
      </c>
      <c r="N814" s="1" t="s">
        <v>72</v>
      </c>
      <c r="O814" s="1" t="s">
        <v>64</v>
      </c>
      <c r="P814" s="1" t="s">
        <v>53</v>
      </c>
      <c r="R814" s="93">
        <v>43181</v>
      </c>
      <c r="S814" s="93" t="s">
        <v>2750</v>
      </c>
    </row>
    <row r="815" spans="1:19">
      <c r="A815" s="92">
        <v>43181</v>
      </c>
      <c r="C815" s="1" t="s">
        <v>56</v>
      </c>
      <c r="E815" s="98" t="s">
        <v>1301</v>
      </c>
      <c r="F815" s="1" t="s">
        <v>1302</v>
      </c>
      <c r="G815" s="1" t="s">
        <v>2526</v>
      </c>
      <c r="H815" s="1">
        <v>9</v>
      </c>
      <c r="I815" s="1" t="s">
        <v>1296</v>
      </c>
      <c r="J815" s="1">
        <v>2.7</v>
      </c>
      <c r="K815" s="1" t="s">
        <v>309</v>
      </c>
      <c r="L815" s="1" t="s">
        <v>150</v>
      </c>
      <c r="M815" s="1" t="s">
        <v>132</v>
      </c>
      <c r="N815" s="1" t="s">
        <v>72</v>
      </c>
      <c r="O815" s="1" t="s">
        <v>64</v>
      </c>
      <c r="P815" s="1" t="s">
        <v>133</v>
      </c>
      <c r="R815" s="93">
        <v>43181</v>
      </c>
      <c r="S815" s="93" t="s">
        <v>2750</v>
      </c>
    </row>
    <row r="816" spans="1:19">
      <c r="A816" s="92">
        <v>43181</v>
      </c>
      <c r="C816" s="1" t="s">
        <v>66</v>
      </c>
      <c r="E816" s="98" t="s">
        <v>1303</v>
      </c>
      <c r="F816" s="1" t="s">
        <v>1304</v>
      </c>
      <c r="G816" s="1" t="s">
        <v>2527</v>
      </c>
      <c r="H816" s="1">
        <v>0.01</v>
      </c>
      <c r="I816" s="1" t="s">
        <v>1296</v>
      </c>
      <c r="J816" s="1">
        <v>3.0000000000000001E-3</v>
      </c>
      <c r="K816" s="1" t="s">
        <v>69</v>
      </c>
      <c r="L816" s="1" t="s">
        <v>70</v>
      </c>
      <c r="M816" s="1" t="s">
        <v>71</v>
      </c>
      <c r="N816" s="1" t="s">
        <v>72</v>
      </c>
      <c r="O816" s="1" t="s">
        <v>64</v>
      </c>
      <c r="P816" s="1" t="s">
        <v>73</v>
      </c>
      <c r="R816" s="93">
        <v>43181</v>
      </c>
      <c r="S816" s="93" t="s">
        <v>2750</v>
      </c>
    </row>
    <row r="817" spans="1:19">
      <c r="A817" s="92">
        <v>43182</v>
      </c>
      <c r="C817" s="1" t="s">
        <v>56</v>
      </c>
      <c r="E817" s="98" t="s">
        <v>1299</v>
      </c>
      <c r="F817" s="1" t="s">
        <v>1300</v>
      </c>
      <c r="G817" s="1" t="s">
        <v>2525</v>
      </c>
      <c r="H817" s="1">
        <v>5</v>
      </c>
      <c r="I817" s="1" t="s">
        <v>1305</v>
      </c>
      <c r="J817" s="1">
        <v>1.5</v>
      </c>
      <c r="K817" s="1" t="s">
        <v>212</v>
      </c>
      <c r="L817" s="1" t="s">
        <v>150</v>
      </c>
      <c r="M817" s="1" t="s">
        <v>132</v>
      </c>
      <c r="N817" s="1" t="s">
        <v>72</v>
      </c>
      <c r="O817" s="1" t="s">
        <v>64</v>
      </c>
      <c r="P817" s="1" t="s">
        <v>133</v>
      </c>
      <c r="R817" s="93">
        <v>43182</v>
      </c>
      <c r="S817" s="93" t="s">
        <v>2750</v>
      </c>
    </row>
    <row r="818" spans="1:19">
      <c r="A818" s="92">
        <v>43182</v>
      </c>
      <c r="C818" s="1" t="s">
        <v>66</v>
      </c>
      <c r="E818" s="98" t="s">
        <v>1306</v>
      </c>
      <c r="F818" s="1" t="s">
        <v>1307</v>
      </c>
      <c r="G818" s="1" t="s">
        <v>2528</v>
      </c>
      <c r="H818" s="1">
        <v>1</v>
      </c>
      <c r="I818" s="1" t="s">
        <v>1305</v>
      </c>
      <c r="J818" s="1">
        <v>0.3</v>
      </c>
      <c r="K818" s="1" t="s">
        <v>149</v>
      </c>
      <c r="L818" s="1" t="s">
        <v>150</v>
      </c>
      <c r="M818" s="1" t="s">
        <v>132</v>
      </c>
      <c r="N818" s="1" t="s">
        <v>72</v>
      </c>
      <c r="O818" s="1" t="s">
        <v>64</v>
      </c>
      <c r="P818" s="1" t="s">
        <v>133</v>
      </c>
      <c r="R818" s="93">
        <v>43182</v>
      </c>
      <c r="S818" s="93" t="s">
        <v>2750</v>
      </c>
    </row>
    <row r="819" spans="1:19">
      <c r="A819" s="92">
        <v>43182</v>
      </c>
      <c r="C819" s="1" t="s">
        <v>56</v>
      </c>
      <c r="E819" s="98" t="s">
        <v>764</v>
      </c>
      <c r="F819" s="1" t="s">
        <v>765</v>
      </c>
      <c r="G819" s="1" t="s">
        <v>2325</v>
      </c>
      <c r="H819" s="1">
        <v>0.46</v>
      </c>
      <c r="I819" s="1" t="s">
        <v>1305</v>
      </c>
      <c r="J819" s="1">
        <v>0.13800000000000001</v>
      </c>
      <c r="K819" s="1" t="s">
        <v>144</v>
      </c>
      <c r="L819" s="1" t="s">
        <v>93</v>
      </c>
      <c r="M819" s="1" t="s">
        <v>94</v>
      </c>
      <c r="N819" s="1" t="s">
        <v>72</v>
      </c>
      <c r="O819" s="1" t="s">
        <v>64</v>
      </c>
      <c r="P819" s="1" t="s">
        <v>95</v>
      </c>
      <c r="R819" s="93">
        <v>43182</v>
      </c>
      <c r="S819" s="93" t="s">
        <v>2750</v>
      </c>
    </row>
    <row r="820" spans="1:19">
      <c r="A820" s="92">
        <v>43182</v>
      </c>
      <c r="C820" s="1" t="s">
        <v>56</v>
      </c>
      <c r="E820" s="98" t="s">
        <v>1308</v>
      </c>
      <c r="F820" s="1" t="s">
        <v>1309</v>
      </c>
      <c r="G820" s="1" t="s">
        <v>2529</v>
      </c>
      <c r="H820" s="1">
        <v>10</v>
      </c>
      <c r="I820" s="1" t="s">
        <v>1305</v>
      </c>
      <c r="J820" s="1">
        <v>3</v>
      </c>
      <c r="K820" s="1" t="s">
        <v>226</v>
      </c>
      <c r="L820" s="1" t="s">
        <v>117</v>
      </c>
      <c r="M820" s="1" t="s">
        <v>2661</v>
      </c>
      <c r="N820" s="1" t="s">
        <v>72</v>
      </c>
      <c r="O820" s="1" t="s">
        <v>64</v>
      </c>
      <c r="P820" s="1" t="s">
        <v>53</v>
      </c>
      <c r="R820" s="93">
        <v>43182</v>
      </c>
      <c r="S820" s="93" t="s">
        <v>2750</v>
      </c>
    </row>
    <row r="821" spans="1:19">
      <c r="A821" s="92">
        <v>43182</v>
      </c>
      <c r="C821" s="1" t="s">
        <v>56</v>
      </c>
      <c r="E821" s="98" t="s">
        <v>1310</v>
      </c>
      <c r="F821" s="1" t="s">
        <v>1311</v>
      </c>
      <c r="G821" s="1" t="s">
        <v>2530</v>
      </c>
      <c r="H821" s="1">
        <v>0.5</v>
      </c>
      <c r="I821" s="1" t="s">
        <v>1305</v>
      </c>
      <c r="J821" s="1">
        <v>0.15</v>
      </c>
      <c r="K821" s="1" t="s">
        <v>945</v>
      </c>
      <c r="L821" s="1" t="s">
        <v>253</v>
      </c>
      <c r="M821" s="1" t="s">
        <v>94</v>
      </c>
      <c r="N821" s="1" t="s">
        <v>72</v>
      </c>
      <c r="O821" s="1" t="s">
        <v>64</v>
      </c>
      <c r="P821" s="1" t="s">
        <v>95</v>
      </c>
      <c r="R821" s="93">
        <v>43182</v>
      </c>
      <c r="S821" s="93" t="s">
        <v>2750</v>
      </c>
    </row>
    <row r="822" spans="1:19">
      <c r="A822" s="92">
        <v>43182</v>
      </c>
      <c r="C822" s="1" t="s">
        <v>66</v>
      </c>
      <c r="E822" s="98" t="s">
        <v>1234</v>
      </c>
      <c r="F822" s="1" t="s">
        <v>1235</v>
      </c>
      <c r="G822" s="1" t="s">
        <v>2500</v>
      </c>
      <c r="H822" s="1">
        <v>20</v>
      </c>
      <c r="I822" s="1" t="s">
        <v>1305</v>
      </c>
      <c r="J822" s="1">
        <v>6</v>
      </c>
      <c r="K822" s="1" t="s">
        <v>97</v>
      </c>
      <c r="L822" s="1" t="s">
        <v>93</v>
      </c>
      <c r="M822" s="1" t="s">
        <v>94</v>
      </c>
      <c r="N822" s="1" t="s">
        <v>72</v>
      </c>
      <c r="O822" s="1" t="s">
        <v>64</v>
      </c>
      <c r="P822" s="1" t="s">
        <v>95</v>
      </c>
      <c r="R822" s="93">
        <v>43182</v>
      </c>
      <c r="S822" s="93" t="s">
        <v>2750</v>
      </c>
    </row>
    <row r="823" spans="1:19">
      <c r="A823" s="92">
        <v>43182</v>
      </c>
      <c r="C823" s="1" t="s">
        <v>56</v>
      </c>
      <c r="E823" s="98" t="s">
        <v>1201</v>
      </c>
      <c r="F823" s="1" t="s">
        <v>1202</v>
      </c>
      <c r="G823" s="1" t="s">
        <v>2490</v>
      </c>
      <c r="H823" s="1">
        <v>7.0170679999999992</v>
      </c>
      <c r="I823" s="1" t="s">
        <v>1314</v>
      </c>
      <c r="J823" s="1">
        <v>7.0170679999999992</v>
      </c>
      <c r="K823" s="1" t="s">
        <v>117</v>
      </c>
      <c r="L823" s="1" t="s">
        <v>117</v>
      </c>
      <c r="M823" s="1" t="s">
        <v>2661</v>
      </c>
      <c r="N823" s="1" t="s">
        <v>72</v>
      </c>
      <c r="O823" s="1" t="s">
        <v>64</v>
      </c>
      <c r="P823" s="1" t="s">
        <v>53</v>
      </c>
      <c r="R823" s="93">
        <v>43182</v>
      </c>
      <c r="S823" s="93" t="s">
        <v>2748</v>
      </c>
    </row>
    <row r="824" spans="1:19">
      <c r="A824" s="92">
        <v>43182</v>
      </c>
      <c r="C824" s="1" t="s">
        <v>56</v>
      </c>
      <c r="E824" s="98" t="s">
        <v>1315</v>
      </c>
      <c r="F824" s="1" t="s">
        <v>1316</v>
      </c>
      <c r="G824" s="1" t="s">
        <v>2531</v>
      </c>
      <c r="H824" s="1">
        <v>6.0146300000000004</v>
      </c>
      <c r="I824" s="1" t="s">
        <v>1314</v>
      </c>
      <c r="J824" s="1">
        <v>6.0146300000000004</v>
      </c>
      <c r="K824" s="1" t="s">
        <v>656</v>
      </c>
      <c r="L824" s="1" t="s">
        <v>105</v>
      </c>
      <c r="M824" s="1" t="s">
        <v>62</v>
      </c>
      <c r="N824" s="1" t="s">
        <v>63</v>
      </c>
      <c r="O824" s="1" t="s">
        <v>64</v>
      </c>
      <c r="P824" s="1" t="s">
        <v>65</v>
      </c>
      <c r="R824" s="93">
        <v>43182</v>
      </c>
      <c r="S824" s="93" t="s">
        <v>2748</v>
      </c>
    </row>
    <row r="825" spans="1:19">
      <c r="A825" s="92">
        <v>43182</v>
      </c>
      <c r="C825" s="1" t="s">
        <v>66</v>
      </c>
      <c r="E825" s="98" t="s">
        <v>842</v>
      </c>
      <c r="F825" s="1" t="s">
        <v>843</v>
      </c>
      <c r="G825" s="1" t="s">
        <v>2352</v>
      </c>
      <c r="H825" s="1">
        <v>10</v>
      </c>
      <c r="I825" s="1" t="s">
        <v>1317</v>
      </c>
      <c r="J825" s="1">
        <v>6</v>
      </c>
      <c r="K825" s="1" t="s">
        <v>496</v>
      </c>
      <c r="L825" s="1" t="s">
        <v>117</v>
      </c>
      <c r="M825" s="1" t="s">
        <v>2661</v>
      </c>
      <c r="N825" s="1" t="s">
        <v>72</v>
      </c>
      <c r="O825" s="1" t="s">
        <v>64</v>
      </c>
      <c r="P825" s="1" t="s">
        <v>53</v>
      </c>
      <c r="R825" s="93">
        <v>43182</v>
      </c>
      <c r="S825" s="93" t="s">
        <v>2749</v>
      </c>
    </row>
    <row r="826" spans="1:19">
      <c r="A826" s="92">
        <v>43182</v>
      </c>
      <c r="C826" s="1" t="s">
        <v>66</v>
      </c>
      <c r="E826" s="98" t="s">
        <v>1318</v>
      </c>
      <c r="F826" s="1" t="s">
        <v>1319</v>
      </c>
      <c r="G826" s="1" t="s">
        <v>2532</v>
      </c>
      <c r="H826" s="1">
        <v>1</v>
      </c>
      <c r="I826" s="1" t="s">
        <v>1317</v>
      </c>
      <c r="J826" s="1">
        <v>0.6</v>
      </c>
      <c r="K826" s="1" t="s">
        <v>306</v>
      </c>
      <c r="L826" s="1" t="s">
        <v>70</v>
      </c>
      <c r="M826" s="1" t="s">
        <v>71</v>
      </c>
      <c r="N826" s="1" t="s">
        <v>72</v>
      </c>
      <c r="O826" s="1" t="s">
        <v>64</v>
      </c>
      <c r="P826" s="1" t="s">
        <v>73</v>
      </c>
      <c r="R826" s="93">
        <v>43182</v>
      </c>
      <c r="S826" s="93" t="s">
        <v>2749</v>
      </c>
    </row>
    <row r="827" spans="1:19">
      <c r="A827" s="92">
        <v>43182</v>
      </c>
      <c r="C827" s="1" t="s">
        <v>56</v>
      </c>
      <c r="E827" s="98" t="s">
        <v>1321</v>
      </c>
      <c r="F827" s="1" t="s">
        <v>1322</v>
      </c>
      <c r="G827" s="1" t="s">
        <v>2533</v>
      </c>
      <c r="H827" s="1">
        <v>5</v>
      </c>
      <c r="I827" s="1" t="s">
        <v>1320</v>
      </c>
      <c r="J827" s="1">
        <v>5</v>
      </c>
      <c r="K827" s="1" t="s">
        <v>281</v>
      </c>
      <c r="L827" s="1" t="s">
        <v>281</v>
      </c>
      <c r="M827" s="1" t="s">
        <v>71</v>
      </c>
      <c r="N827" s="1" t="s">
        <v>72</v>
      </c>
      <c r="O827" s="1" t="s">
        <v>64</v>
      </c>
      <c r="P827" s="1" t="s">
        <v>73</v>
      </c>
      <c r="R827" s="93">
        <v>43182</v>
      </c>
      <c r="S827" s="93" t="s">
        <v>2748</v>
      </c>
    </row>
    <row r="828" spans="1:19">
      <c r="A828" s="92">
        <v>43182</v>
      </c>
      <c r="C828" s="1" t="s">
        <v>56</v>
      </c>
      <c r="E828" s="98" t="s">
        <v>1323</v>
      </c>
      <c r="F828" s="1" t="s">
        <v>1324</v>
      </c>
      <c r="G828" s="1" t="s">
        <v>2534</v>
      </c>
      <c r="H828" s="1">
        <v>0.63</v>
      </c>
      <c r="I828" s="1" t="s">
        <v>1320</v>
      </c>
      <c r="J828" s="1">
        <v>0.63</v>
      </c>
      <c r="K828" s="1" t="s">
        <v>124</v>
      </c>
      <c r="L828" s="1" t="s">
        <v>117</v>
      </c>
      <c r="M828" s="1" t="s">
        <v>2661</v>
      </c>
      <c r="N828" s="1" t="s">
        <v>72</v>
      </c>
      <c r="O828" s="1" t="s">
        <v>64</v>
      </c>
      <c r="P828" s="1" t="s">
        <v>53</v>
      </c>
      <c r="R828" s="93">
        <v>43182</v>
      </c>
      <c r="S828" s="93" t="s">
        <v>2748</v>
      </c>
    </row>
    <row r="829" spans="1:19">
      <c r="A829" s="92">
        <v>43182</v>
      </c>
      <c r="C829" s="1" t="s">
        <v>56</v>
      </c>
      <c r="E829" s="98" t="s">
        <v>1146</v>
      </c>
      <c r="F829" s="1" t="s">
        <v>1147</v>
      </c>
      <c r="G829" s="1" t="s">
        <v>2472</v>
      </c>
      <c r="H829" s="1">
        <v>1</v>
      </c>
      <c r="I829" s="1" t="s">
        <v>1320</v>
      </c>
      <c r="J829" s="1">
        <v>1</v>
      </c>
      <c r="K829" s="1" t="s">
        <v>1119</v>
      </c>
      <c r="L829" s="1" t="s">
        <v>110</v>
      </c>
      <c r="M829" s="1" t="s">
        <v>52</v>
      </c>
      <c r="N829" s="1" t="s">
        <v>63</v>
      </c>
      <c r="O829" s="1" t="s">
        <v>64</v>
      </c>
      <c r="P829" s="1" t="s">
        <v>111</v>
      </c>
      <c r="R829" s="93">
        <v>43182</v>
      </c>
      <c r="S829" s="93" t="s">
        <v>2748</v>
      </c>
    </row>
    <row r="830" spans="1:19">
      <c r="A830" s="92">
        <v>43182</v>
      </c>
      <c r="C830" s="1" t="s">
        <v>66</v>
      </c>
      <c r="E830" s="98" t="s">
        <v>1325</v>
      </c>
      <c r="F830" s="1" t="s">
        <v>1326</v>
      </c>
      <c r="G830" s="1" t="s">
        <v>2535</v>
      </c>
      <c r="H830" s="1">
        <v>5</v>
      </c>
      <c r="I830" s="1" t="s">
        <v>1320</v>
      </c>
      <c r="J830" s="1">
        <v>5</v>
      </c>
      <c r="K830" s="1" t="s">
        <v>676</v>
      </c>
      <c r="L830" s="1" t="s">
        <v>150</v>
      </c>
      <c r="M830" s="1" t="s">
        <v>132</v>
      </c>
      <c r="N830" s="1" t="s">
        <v>72</v>
      </c>
      <c r="O830" s="1" t="s">
        <v>64</v>
      </c>
      <c r="P830" s="1" t="s">
        <v>133</v>
      </c>
      <c r="R830" s="93">
        <v>43182</v>
      </c>
      <c r="S830" s="93" t="s">
        <v>2748</v>
      </c>
    </row>
    <row r="831" spans="1:19">
      <c r="A831" s="92">
        <v>43182</v>
      </c>
      <c r="C831" s="1" t="s">
        <v>56</v>
      </c>
      <c r="E831" s="98" t="s">
        <v>1327</v>
      </c>
      <c r="F831" s="1" t="s">
        <v>1328</v>
      </c>
      <c r="G831" s="1" t="s">
        <v>2536</v>
      </c>
      <c r="H831" s="1">
        <v>2</v>
      </c>
      <c r="I831" s="1" t="s">
        <v>1320</v>
      </c>
      <c r="J831" s="1">
        <v>2</v>
      </c>
      <c r="K831" s="1" t="s">
        <v>296</v>
      </c>
      <c r="L831" s="1" t="s">
        <v>93</v>
      </c>
      <c r="M831" s="1" t="s">
        <v>94</v>
      </c>
      <c r="N831" s="1" t="s">
        <v>72</v>
      </c>
      <c r="O831" s="1" t="s">
        <v>64</v>
      </c>
      <c r="P831" s="1" t="s">
        <v>95</v>
      </c>
      <c r="R831" s="93">
        <v>43182</v>
      </c>
      <c r="S831" s="93" t="s">
        <v>2748</v>
      </c>
    </row>
    <row r="832" spans="1:19">
      <c r="A832" s="92">
        <v>43182</v>
      </c>
      <c r="C832" s="1" t="s">
        <v>56</v>
      </c>
      <c r="E832" s="98" t="s">
        <v>1329</v>
      </c>
      <c r="F832" s="1" t="s">
        <v>1302</v>
      </c>
      <c r="G832" s="1" t="s">
        <v>2537</v>
      </c>
      <c r="H832" s="1">
        <v>10</v>
      </c>
      <c r="I832" s="1" t="s">
        <v>1320</v>
      </c>
      <c r="J832" s="1">
        <v>10</v>
      </c>
      <c r="K832" s="1" t="s">
        <v>105</v>
      </c>
      <c r="L832" s="1" t="s">
        <v>105</v>
      </c>
      <c r="M832" s="1" t="s">
        <v>62</v>
      </c>
      <c r="N832" s="1" t="s">
        <v>63</v>
      </c>
      <c r="O832" s="1" t="s">
        <v>64</v>
      </c>
      <c r="P832" s="1" t="s">
        <v>65</v>
      </c>
      <c r="R832" s="93">
        <v>43182</v>
      </c>
      <c r="S832" s="93" t="s">
        <v>2748</v>
      </c>
    </row>
    <row r="833" spans="1:19">
      <c r="A833" s="92">
        <v>43182</v>
      </c>
      <c r="C833" s="1" t="s">
        <v>56</v>
      </c>
      <c r="E833" s="98" t="s">
        <v>1197</v>
      </c>
      <c r="F833" s="1" t="s">
        <v>1198</v>
      </c>
      <c r="G833" s="1" t="s">
        <v>2488</v>
      </c>
      <c r="H833" s="1">
        <v>1</v>
      </c>
      <c r="I833" s="1" t="s">
        <v>1320</v>
      </c>
      <c r="J833" s="1">
        <v>1</v>
      </c>
      <c r="K833" s="1" t="s">
        <v>192</v>
      </c>
      <c r="L833" s="1" t="s">
        <v>193</v>
      </c>
      <c r="M833" s="1" t="s">
        <v>62</v>
      </c>
      <c r="N833" s="1" t="s">
        <v>63</v>
      </c>
      <c r="O833" s="1" t="s">
        <v>64</v>
      </c>
      <c r="P833" s="1" t="s">
        <v>65</v>
      </c>
      <c r="R833" s="93">
        <v>43182</v>
      </c>
      <c r="S833" s="93" t="s">
        <v>2748</v>
      </c>
    </row>
    <row r="834" spans="1:19">
      <c r="A834" s="92">
        <v>43182</v>
      </c>
      <c r="C834" s="1" t="s">
        <v>56</v>
      </c>
      <c r="E834" s="98" t="s">
        <v>1330</v>
      </c>
      <c r="F834" s="1" t="s">
        <v>1331</v>
      </c>
      <c r="G834" s="1" t="s">
        <v>2538</v>
      </c>
      <c r="H834" s="1">
        <v>2</v>
      </c>
      <c r="I834" s="1" t="s">
        <v>1320</v>
      </c>
      <c r="J834" s="1">
        <v>2</v>
      </c>
      <c r="K834" s="1" t="s">
        <v>155</v>
      </c>
      <c r="L834" s="1" t="s">
        <v>70</v>
      </c>
      <c r="M834" s="1" t="s">
        <v>71</v>
      </c>
      <c r="N834" s="1" t="s">
        <v>72</v>
      </c>
      <c r="O834" s="1" t="s">
        <v>64</v>
      </c>
      <c r="P834" s="1" t="s">
        <v>73</v>
      </c>
      <c r="R834" s="93">
        <v>43182</v>
      </c>
      <c r="S834" s="93" t="s">
        <v>2748</v>
      </c>
    </row>
    <row r="835" spans="1:19">
      <c r="A835" s="92">
        <v>43182</v>
      </c>
      <c r="C835" s="1" t="s">
        <v>66</v>
      </c>
      <c r="E835" s="98" t="s">
        <v>1332</v>
      </c>
      <c r="F835" s="1" t="s">
        <v>1333</v>
      </c>
      <c r="G835" s="1" t="s">
        <v>2539</v>
      </c>
      <c r="H835" s="1">
        <v>1</v>
      </c>
      <c r="I835" s="1" t="s">
        <v>1320</v>
      </c>
      <c r="J835" s="1">
        <v>1</v>
      </c>
      <c r="K835" s="1" t="s">
        <v>403</v>
      </c>
      <c r="L835" s="1" t="s">
        <v>216</v>
      </c>
      <c r="M835" s="1" t="s">
        <v>52</v>
      </c>
      <c r="N835" s="1" t="s">
        <v>63</v>
      </c>
      <c r="O835" s="1" t="s">
        <v>64</v>
      </c>
      <c r="P835" s="1" t="s">
        <v>111</v>
      </c>
      <c r="R835" s="93">
        <v>43182</v>
      </c>
      <c r="S835" s="93" t="s">
        <v>2748</v>
      </c>
    </row>
    <row r="836" spans="1:19">
      <c r="A836" s="92">
        <v>43182</v>
      </c>
      <c r="C836" s="1" t="s">
        <v>56</v>
      </c>
      <c r="E836" s="98" t="s">
        <v>719</v>
      </c>
      <c r="F836" s="1" t="s">
        <v>720</v>
      </c>
      <c r="G836" s="1" t="s">
        <v>2047</v>
      </c>
      <c r="H836" s="1">
        <v>0.4</v>
      </c>
      <c r="I836" s="1" t="s">
        <v>1320</v>
      </c>
      <c r="J836" s="1">
        <v>0.4</v>
      </c>
      <c r="K836" s="1" t="s">
        <v>136</v>
      </c>
      <c r="L836" s="1" t="s">
        <v>85</v>
      </c>
      <c r="M836" s="1" t="s">
        <v>71</v>
      </c>
      <c r="N836" s="1" t="s">
        <v>72</v>
      </c>
      <c r="O836" s="1" t="s">
        <v>64</v>
      </c>
      <c r="P836" s="1" t="s">
        <v>73</v>
      </c>
      <c r="R836" s="93">
        <v>43182</v>
      </c>
      <c r="S836" s="93" t="s">
        <v>2748</v>
      </c>
    </row>
    <row r="837" spans="1:19">
      <c r="A837" s="92">
        <v>43182</v>
      </c>
      <c r="C837" s="1" t="s">
        <v>66</v>
      </c>
      <c r="E837" s="98" t="s">
        <v>1334</v>
      </c>
      <c r="F837" s="1" t="s">
        <v>1335</v>
      </c>
      <c r="G837" s="1" t="s">
        <v>2540</v>
      </c>
      <c r="H837" s="1">
        <v>5</v>
      </c>
      <c r="I837" s="1" t="s">
        <v>1336</v>
      </c>
      <c r="J837" s="1">
        <v>5</v>
      </c>
      <c r="K837" s="1" t="s">
        <v>219</v>
      </c>
      <c r="L837" s="1" t="s">
        <v>70</v>
      </c>
      <c r="M837" s="1" t="s">
        <v>71</v>
      </c>
      <c r="N837" s="1" t="s">
        <v>72</v>
      </c>
      <c r="O837" s="1" t="s">
        <v>64</v>
      </c>
      <c r="P837" s="1" t="s">
        <v>73</v>
      </c>
      <c r="R837" s="93">
        <v>43182</v>
      </c>
      <c r="S837" s="93" t="s">
        <v>2751</v>
      </c>
    </row>
    <row r="838" spans="1:19">
      <c r="A838" s="92">
        <v>43183</v>
      </c>
      <c r="C838" s="1" t="s">
        <v>56</v>
      </c>
      <c r="E838" s="98" t="s">
        <v>1337</v>
      </c>
      <c r="F838" s="1" t="s">
        <v>1338</v>
      </c>
      <c r="G838" s="1" t="s">
        <v>2541</v>
      </c>
      <c r="H838" s="1">
        <v>4.4260820000000001</v>
      </c>
      <c r="I838" s="1" t="s">
        <v>1336</v>
      </c>
      <c r="J838" s="1">
        <v>4.4260820000000001</v>
      </c>
      <c r="K838" s="1" t="s">
        <v>215</v>
      </c>
      <c r="L838" s="1" t="s">
        <v>216</v>
      </c>
      <c r="M838" s="1" t="s">
        <v>52</v>
      </c>
      <c r="N838" s="1" t="s">
        <v>63</v>
      </c>
      <c r="O838" s="1" t="s">
        <v>64</v>
      </c>
      <c r="P838" s="1" t="s">
        <v>111</v>
      </c>
      <c r="R838" s="93">
        <v>43183</v>
      </c>
      <c r="S838" s="93" t="s">
        <v>2751</v>
      </c>
    </row>
    <row r="839" spans="1:19">
      <c r="A839" s="92">
        <v>43183</v>
      </c>
      <c r="C839" s="1" t="s">
        <v>56</v>
      </c>
      <c r="E839" s="98" t="s">
        <v>854</v>
      </c>
      <c r="F839" s="1" t="s">
        <v>855</v>
      </c>
      <c r="G839" s="1" t="s">
        <v>2358</v>
      </c>
      <c r="H839" s="1">
        <v>1.1065209999999999</v>
      </c>
      <c r="I839" s="1" t="s">
        <v>1336</v>
      </c>
      <c r="J839" s="1">
        <v>1.1065209999999999</v>
      </c>
      <c r="K839" s="1" t="s">
        <v>114</v>
      </c>
      <c r="L839" s="1" t="s">
        <v>85</v>
      </c>
      <c r="M839" s="1" t="s">
        <v>71</v>
      </c>
      <c r="N839" s="1" t="s">
        <v>72</v>
      </c>
      <c r="O839" s="1" t="s">
        <v>64</v>
      </c>
      <c r="P839" s="1" t="s">
        <v>73</v>
      </c>
      <c r="R839" s="93">
        <v>43183</v>
      </c>
      <c r="S839" s="93" t="s">
        <v>2751</v>
      </c>
    </row>
    <row r="840" spans="1:19">
      <c r="A840" s="92">
        <v>43183</v>
      </c>
      <c r="C840" s="1" t="s">
        <v>56</v>
      </c>
      <c r="E840" s="98" t="s">
        <v>1339</v>
      </c>
      <c r="F840" s="1" t="s">
        <v>1340</v>
      </c>
      <c r="G840" s="1" t="s">
        <v>2542</v>
      </c>
      <c r="H840" s="1">
        <v>3.3195620000000003</v>
      </c>
      <c r="I840" s="1" t="s">
        <v>1336</v>
      </c>
      <c r="J840" s="1">
        <v>3.3195620000000003</v>
      </c>
      <c r="K840" s="1" t="s">
        <v>114</v>
      </c>
      <c r="L840" s="1" t="s">
        <v>85</v>
      </c>
      <c r="M840" s="1" t="s">
        <v>71</v>
      </c>
      <c r="N840" s="1" t="s">
        <v>72</v>
      </c>
      <c r="O840" s="1" t="s">
        <v>64</v>
      </c>
      <c r="P840" s="1" t="s">
        <v>73</v>
      </c>
      <c r="R840" s="93">
        <v>43183</v>
      </c>
      <c r="S840" s="93" t="s">
        <v>2751</v>
      </c>
    </row>
    <row r="841" spans="1:19">
      <c r="A841" s="92">
        <v>43183</v>
      </c>
      <c r="C841" s="1" t="s">
        <v>66</v>
      </c>
      <c r="E841" s="98" t="s">
        <v>1325</v>
      </c>
      <c r="F841" s="1" t="s">
        <v>1326</v>
      </c>
      <c r="G841" s="1" t="s">
        <v>2535</v>
      </c>
      <c r="H841" s="1">
        <v>5</v>
      </c>
      <c r="I841" s="1" t="s">
        <v>1336</v>
      </c>
      <c r="J841" s="1">
        <v>5</v>
      </c>
      <c r="K841" s="1" t="s">
        <v>676</v>
      </c>
      <c r="L841" s="1" t="s">
        <v>150</v>
      </c>
      <c r="M841" s="1" t="s">
        <v>132</v>
      </c>
      <c r="N841" s="1" t="s">
        <v>72</v>
      </c>
      <c r="O841" s="1" t="s">
        <v>64</v>
      </c>
      <c r="P841" s="1" t="s">
        <v>133</v>
      </c>
      <c r="R841" s="93">
        <v>43183</v>
      </c>
      <c r="S841" s="93" t="s">
        <v>2751</v>
      </c>
    </row>
    <row r="842" spans="1:19">
      <c r="A842" s="92">
        <v>43183</v>
      </c>
      <c r="C842" s="1" t="s">
        <v>56</v>
      </c>
      <c r="E842" s="98" t="s">
        <v>1341</v>
      </c>
      <c r="F842" s="1" t="s">
        <v>1342</v>
      </c>
      <c r="G842" s="1" t="s">
        <v>2543</v>
      </c>
      <c r="H842" s="1">
        <v>5</v>
      </c>
      <c r="I842" s="1" t="s">
        <v>1336</v>
      </c>
      <c r="J842" s="1">
        <v>5</v>
      </c>
      <c r="K842" s="1" t="s">
        <v>89</v>
      </c>
      <c r="L842" s="1" t="s">
        <v>70</v>
      </c>
      <c r="M842" s="1" t="s">
        <v>71</v>
      </c>
      <c r="N842" s="1" t="s">
        <v>72</v>
      </c>
      <c r="O842" s="1" t="s">
        <v>64</v>
      </c>
      <c r="P842" s="1" t="s">
        <v>73</v>
      </c>
      <c r="R842" s="93">
        <v>43183</v>
      </c>
      <c r="S842" s="93" t="s">
        <v>2751</v>
      </c>
    </row>
    <row r="843" spans="1:19">
      <c r="A843" s="92">
        <v>43183</v>
      </c>
      <c r="C843" s="1" t="s">
        <v>66</v>
      </c>
      <c r="E843" s="98" t="s">
        <v>1343</v>
      </c>
      <c r="F843" s="1" t="s">
        <v>1344</v>
      </c>
      <c r="G843" s="1" t="s">
        <v>2544</v>
      </c>
      <c r="H843" s="1">
        <v>1.4</v>
      </c>
      <c r="I843" s="1" t="s">
        <v>1336</v>
      </c>
      <c r="J843" s="1">
        <v>1.4</v>
      </c>
      <c r="K843" s="1" t="s">
        <v>312</v>
      </c>
      <c r="L843" s="1" t="s">
        <v>117</v>
      </c>
      <c r="M843" s="1" t="s">
        <v>2661</v>
      </c>
      <c r="N843" s="1" t="s">
        <v>72</v>
      </c>
      <c r="O843" s="1" t="s">
        <v>64</v>
      </c>
      <c r="P843" s="1" t="s">
        <v>53</v>
      </c>
      <c r="R843" s="93">
        <v>43183</v>
      </c>
      <c r="S843" s="93" t="s">
        <v>2751</v>
      </c>
    </row>
    <row r="844" spans="1:19">
      <c r="A844" s="92">
        <v>43184</v>
      </c>
      <c r="C844" s="1" t="s">
        <v>56</v>
      </c>
      <c r="E844" s="98" t="s">
        <v>388</v>
      </c>
      <c r="F844" s="1" t="s">
        <v>389</v>
      </c>
      <c r="G844" s="1" t="s">
        <v>2181</v>
      </c>
      <c r="H844" s="1">
        <v>5.5326029999999999</v>
      </c>
      <c r="I844" s="1" t="s">
        <v>1336</v>
      </c>
      <c r="J844" s="1">
        <v>5.5326029999999999</v>
      </c>
      <c r="K844" s="1" t="s">
        <v>269</v>
      </c>
      <c r="L844" s="1" t="s">
        <v>269</v>
      </c>
      <c r="M844" s="1" t="s">
        <v>132</v>
      </c>
      <c r="N844" s="1" t="s">
        <v>72</v>
      </c>
      <c r="O844" s="1" t="s">
        <v>64</v>
      </c>
      <c r="P844" s="1" t="s">
        <v>133</v>
      </c>
      <c r="R844" s="93">
        <v>43184</v>
      </c>
      <c r="S844" s="93" t="s">
        <v>2751</v>
      </c>
    </row>
    <row r="845" spans="1:19">
      <c r="A845" s="92">
        <v>43184</v>
      </c>
      <c r="C845" s="1" t="s">
        <v>56</v>
      </c>
      <c r="E845" s="98" t="s">
        <v>1345</v>
      </c>
      <c r="F845" s="1" t="s">
        <v>1346</v>
      </c>
      <c r="G845" s="1" t="s">
        <v>2545</v>
      </c>
      <c r="H845" s="1">
        <v>11.065205000000001</v>
      </c>
      <c r="I845" s="1" t="s">
        <v>1336</v>
      </c>
      <c r="J845" s="1">
        <v>11.065205000000001</v>
      </c>
      <c r="K845" s="1" t="s">
        <v>496</v>
      </c>
      <c r="L845" s="1" t="s">
        <v>117</v>
      </c>
      <c r="M845" s="1" t="s">
        <v>2661</v>
      </c>
      <c r="N845" s="1" t="s">
        <v>72</v>
      </c>
      <c r="O845" s="1" t="s">
        <v>64</v>
      </c>
      <c r="P845" s="1" t="s">
        <v>53</v>
      </c>
      <c r="R845" s="93">
        <v>43184</v>
      </c>
      <c r="S845" s="93" t="s">
        <v>2751</v>
      </c>
    </row>
    <row r="846" spans="1:19">
      <c r="A846" s="92">
        <v>43184</v>
      </c>
      <c r="C846" s="1" t="s">
        <v>66</v>
      </c>
      <c r="E846" s="98" t="s">
        <v>1325</v>
      </c>
      <c r="F846" s="1" t="s">
        <v>1326</v>
      </c>
      <c r="G846" s="1" t="s">
        <v>2535</v>
      </c>
      <c r="H846" s="1">
        <v>2</v>
      </c>
      <c r="I846" s="1" t="s">
        <v>1336</v>
      </c>
      <c r="J846" s="1">
        <v>2</v>
      </c>
      <c r="K846" s="1" t="s">
        <v>676</v>
      </c>
      <c r="L846" s="1" t="s">
        <v>150</v>
      </c>
      <c r="M846" s="1" t="s">
        <v>132</v>
      </c>
      <c r="N846" s="1" t="s">
        <v>72</v>
      </c>
      <c r="O846" s="1" t="s">
        <v>64</v>
      </c>
      <c r="P846" s="1" t="s">
        <v>133</v>
      </c>
      <c r="R846" s="93">
        <v>43184</v>
      </c>
      <c r="S846" s="93" t="s">
        <v>2751</v>
      </c>
    </row>
    <row r="847" spans="1:19">
      <c r="A847" s="92">
        <v>43184</v>
      </c>
      <c r="C847" s="1" t="s">
        <v>56</v>
      </c>
      <c r="E847" s="98" t="s">
        <v>1347</v>
      </c>
      <c r="F847" s="1" t="s">
        <v>1348</v>
      </c>
      <c r="G847" s="1" t="s">
        <v>2546</v>
      </c>
      <c r="H847" s="1">
        <v>3</v>
      </c>
      <c r="I847" s="1" t="s">
        <v>1336</v>
      </c>
      <c r="J847" s="1">
        <v>3</v>
      </c>
      <c r="K847" s="1" t="s">
        <v>1206</v>
      </c>
      <c r="L847" s="1" t="s">
        <v>281</v>
      </c>
      <c r="M847" s="1" t="s">
        <v>71</v>
      </c>
      <c r="N847" s="1" t="s">
        <v>72</v>
      </c>
      <c r="O847" s="1" t="s">
        <v>64</v>
      </c>
      <c r="P847" s="1" t="s">
        <v>73</v>
      </c>
      <c r="R847" s="93">
        <v>43184</v>
      </c>
      <c r="S847" s="93" t="s">
        <v>2751</v>
      </c>
    </row>
    <row r="848" spans="1:19">
      <c r="A848" s="92">
        <v>43184</v>
      </c>
      <c r="C848" s="1" t="s">
        <v>66</v>
      </c>
      <c r="E848" s="98" t="s">
        <v>1349</v>
      </c>
      <c r="F848" s="1" t="s">
        <v>1350</v>
      </c>
      <c r="G848" s="1" t="s">
        <v>2547</v>
      </c>
      <c r="H848" s="1">
        <v>5</v>
      </c>
      <c r="I848" s="1" t="s">
        <v>1336</v>
      </c>
      <c r="J848" s="1">
        <v>5</v>
      </c>
      <c r="K848" s="1" t="s">
        <v>306</v>
      </c>
      <c r="L848" s="1" t="s">
        <v>70</v>
      </c>
      <c r="M848" s="1" t="s">
        <v>71</v>
      </c>
      <c r="N848" s="1" t="s">
        <v>72</v>
      </c>
      <c r="O848" s="1" t="s">
        <v>64</v>
      </c>
      <c r="P848" s="1" t="s">
        <v>73</v>
      </c>
      <c r="R848" s="93">
        <v>43184</v>
      </c>
      <c r="S848" s="93" t="s">
        <v>2751</v>
      </c>
    </row>
    <row r="849" spans="1:19">
      <c r="A849" s="92">
        <v>43184</v>
      </c>
      <c r="C849" s="1" t="s">
        <v>56</v>
      </c>
      <c r="E849" s="98" t="s">
        <v>1199</v>
      </c>
      <c r="F849" s="1" t="s">
        <v>1200</v>
      </c>
      <c r="G849" s="1" t="s">
        <v>2489</v>
      </c>
      <c r="H849" s="1">
        <v>1</v>
      </c>
      <c r="I849" s="1" t="s">
        <v>1336</v>
      </c>
      <c r="J849" s="1">
        <v>1</v>
      </c>
      <c r="K849" s="1" t="s">
        <v>70</v>
      </c>
      <c r="L849" s="1" t="s">
        <v>70</v>
      </c>
      <c r="M849" s="1" t="s">
        <v>71</v>
      </c>
      <c r="N849" s="1" t="s">
        <v>72</v>
      </c>
      <c r="O849" s="1" t="s">
        <v>64</v>
      </c>
      <c r="P849" s="1" t="s">
        <v>73</v>
      </c>
      <c r="R849" s="93">
        <v>43184</v>
      </c>
      <c r="S849" s="93" t="s">
        <v>2751</v>
      </c>
    </row>
    <row r="850" spans="1:19">
      <c r="A850" s="92">
        <v>43184</v>
      </c>
      <c r="C850" s="1" t="s">
        <v>56</v>
      </c>
      <c r="E850" s="98" t="s">
        <v>1076</v>
      </c>
      <c r="F850" s="1" t="s">
        <v>563</v>
      </c>
      <c r="G850" s="1" t="s">
        <v>2443</v>
      </c>
      <c r="H850" s="1">
        <v>2</v>
      </c>
      <c r="I850" s="1" t="s">
        <v>1336</v>
      </c>
      <c r="J850" s="1">
        <v>2</v>
      </c>
      <c r="K850" s="1" t="s">
        <v>563</v>
      </c>
      <c r="L850" s="1" t="s">
        <v>281</v>
      </c>
      <c r="M850" s="1" t="s">
        <v>71</v>
      </c>
      <c r="N850" s="1" t="s">
        <v>72</v>
      </c>
      <c r="O850" s="1" t="s">
        <v>64</v>
      </c>
      <c r="P850" s="1" t="s">
        <v>73</v>
      </c>
      <c r="R850" s="93">
        <v>43184</v>
      </c>
      <c r="S850" s="93" t="s">
        <v>2751</v>
      </c>
    </row>
    <row r="851" spans="1:19">
      <c r="A851" s="92">
        <v>43184</v>
      </c>
      <c r="C851" s="1" t="s">
        <v>56</v>
      </c>
      <c r="E851" s="98" t="s">
        <v>1059</v>
      </c>
      <c r="F851" s="1" t="s">
        <v>1060</v>
      </c>
      <c r="G851" s="1" t="s">
        <v>2437</v>
      </c>
      <c r="H851" s="1">
        <v>2</v>
      </c>
      <c r="I851" s="1" t="s">
        <v>1336</v>
      </c>
      <c r="J851" s="1">
        <v>2</v>
      </c>
      <c r="K851" s="1" t="s">
        <v>312</v>
      </c>
      <c r="L851" s="1" t="s">
        <v>117</v>
      </c>
      <c r="M851" s="1" t="s">
        <v>2661</v>
      </c>
      <c r="N851" s="1" t="s">
        <v>72</v>
      </c>
      <c r="O851" s="1" t="s">
        <v>64</v>
      </c>
      <c r="P851" s="1" t="s">
        <v>53</v>
      </c>
      <c r="R851" s="93">
        <v>43184</v>
      </c>
      <c r="S851" s="93" t="s">
        <v>2751</v>
      </c>
    </row>
    <row r="852" spans="1:19">
      <c r="A852" s="92">
        <v>43184</v>
      </c>
      <c r="C852" s="1" t="s">
        <v>56</v>
      </c>
      <c r="E852" s="98" t="s">
        <v>1351</v>
      </c>
      <c r="F852" s="1" t="s">
        <v>1352</v>
      </c>
      <c r="G852" s="1" t="s">
        <v>2548</v>
      </c>
      <c r="H852" s="1">
        <v>0.01</v>
      </c>
      <c r="I852" s="1" t="s">
        <v>1336</v>
      </c>
      <c r="J852" s="1">
        <v>0.01</v>
      </c>
      <c r="K852" s="1" t="s">
        <v>84</v>
      </c>
      <c r="L852" s="1" t="s">
        <v>85</v>
      </c>
      <c r="M852" s="1" t="s">
        <v>71</v>
      </c>
      <c r="N852" s="1" t="s">
        <v>72</v>
      </c>
      <c r="O852" s="1" t="s">
        <v>64</v>
      </c>
      <c r="P852" s="1" t="s">
        <v>73</v>
      </c>
      <c r="R852" s="93">
        <v>43184</v>
      </c>
      <c r="S852" s="93" t="s">
        <v>2751</v>
      </c>
    </row>
    <row r="853" spans="1:19">
      <c r="A853" s="92">
        <v>43184</v>
      </c>
      <c r="C853" s="1" t="s">
        <v>56</v>
      </c>
      <c r="E853" s="98" t="s">
        <v>1353</v>
      </c>
      <c r="F853" s="1" t="s">
        <v>1354</v>
      </c>
      <c r="G853" s="1" t="s">
        <v>2549</v>
      </c>
      <c r="H853" s="1">
        <v>11</v>
      </c>
      <c r="I853" s="1" t="s">
        <v>1336</v>
      </c>
      <c r="J853" s="1">
        <v>11</v>
      </c>
      <c r="K853" s="1" t="s">
        <v>136</v>
      </c>
      <c r="L853" s="1" t="s">
        <v>85</v>
      </c>
      <c r="M853" s="1" t="s">
        <v>71</v>
      </c>
      <c r="N853" s="1" t="s">
        <v>72</v>
      </c>
      <c r="O853" s="1" t="s">
        <v>64</v>
      </c>
      <c r="P853" s="1" t="s">
        <v>73</v>
      </c>
      <c r="R853" s="93">
        <v>43184</v>
      </c>
      <c r="S853" s="93" t="s">
        <v>2751</v>
      </c>
    </row>
    <row r="854" spans="1:19">
      <c r="A854" s="92">
        <v>43184</v>
      </c>
      <c r="C854" s="1" t="s">
        <v>66</v>
      </c>
      <c r="E854" s="98" t="s">
        <v>1355</v>
      </c>
      <c r="F854" s="1" t="s">
        <v>1356</v>
      </c>
      <c r="G854" s="1" t="s">
        <v>2550</v>
      </c>
      <c r="H854" s="1">
        <v>5</v>
      </c>
      <c r="I854" s="1" t="s">
        <v>1336</v>
      </c>
      <c r="J854" s="1">
        <v>5</v>
      </c>
      <c r="K854" s="1" t="s">
        <v>89</v>
      </c>
      <c r="L854" s="1" t="s">
        <v>70</v>
      </c>
      <c r="M854" s="1" t="s">
        <v>71</v>
      </c>
      <c r="N854" s="1" t="s">
        <v>72</v>
      </c>
      <c r="O854" s="1" t="s">
        <v>64</v>
      </c>
      <c r="P854" s="1" t="s">
        <v>73</v>
      </c>
      <c r="R854" s="93">
        <v>43184</v>
      </c>
      <c r="S854" s="93" t="s">
        <v>2751</v>
      </c>
    </row>
    <row r="855" spans="1:19">
      <c r="A855" s="92">
        <v>43184</v>
      </c>
      <c r="C855" s="1" t="s">
        <v>66</v>
      </c>
      <c r="E855" s="98" t="s">
        <v>1357</v>
      </c>
      <c r="F855" s="1" t="s">
        <v>69</v>
      </c>
      <c r="G855" s="1" t="s">
        <v>2551</v>
      </c>
      <c r="H855" s="1">
        <v>3</v>
      </c>
      <c r="I855" s="1" t="s">
        <v>1336</v>
      </c>
      <c r="J855" s="1">
        <v>3</v>
      </c>
      <c r="K855" s="1" t="s">
        <v>69</v>
      </c>
      <c r="L855" s="1" t="s">
        <v>70</v>
      </c>
      <c r="M855" s="1" t="s">
        <v>71</v>
      </c>
      <c r="N855" s="1" t="s">
        <v>72</v>
      </c>
      <c r="O855" s="1" t="s">
        <v>64</v>
      </c>
      <c r="P855" s="1" t="s">
        <v>73</v>
      </c>
      <c r="R855" s="93">
        <v>43184</v>
      </c>
      <c r="S855" s="93" t="s">
        <v>2751</v>
      </c>
    </row>
    <row r="856" spans="1:19">
      <c r="A856" s="92">
        <v>43184</v>
      </c>
      <c r="C856" s="1" t="s">
        <v>56</v>
      </c>
      <c r="E856" s="98" t="s">
        <v>1358</v>
      </c>
      <c r="F856" s="1" t="s">
        <v>1359</v>
      </c>
      <c r="G856" s="1" t="s">
        <v>2552</v>
      </c>
      <c r="H856" s="1">
        <v>5</v>
      </c>
      <c r="I856" s="1" t="s">
        <v>1336</v>
      </c>
      <c r="J856" s="1">
        <v>5</v>
      </c>
      <c r="K856" s="1" t="s">
        <v>1206</v>
      </c>
      <c r="L856" s="1" t="s">
        <v>281</v>
      </c>
      <c r="M856" s="1" t="s">
        <v>71</v>
      </c>
      <c r="N856" s="1" t="s">
        <v>72</v>
      </c>
      <c r="O856" s="1" t="s">
        <v>64</v>
      </c>
      <c r="P856" s="1" t="s">
        <v>73</v>
      </c>
      <c r="R856" s="93">
        <v>43184</v>
      </c>
      <c r="S856" s="93" t="s">
        <v>2751</v>
      </c>
    </row>
    <row r="857" spans="1:19">
      <c r="A857" s="92">
        <v>43184</v>
      </c>
      <c r="C857" s="1" t="s">
        <v>56</v>
      </c>
      <c r="E857" s="98" t="s">
        <v>1146</v>
      </c>
      <c r="F857" s="1" t="s">
        <v>1147</v>
      </c>
      <c r="G857" s="1" t="s">
        <v>2472</v>
      </c>
      <c r="H857" s="1">
        <v>2</v>
      </c>
      <c r="I857" s="1" t="s">
        <v>1336</v>
      </c>
      <c r="J857" s="1">
        <v>2</v>
      </c>
      <c r="K857" s="1" t="s">
        <v>1119</v>
      </c>
      <c r="L857" s="1" t="s">
        <v>110</v>
      </c>
      <c r="M857" s="1" t="s">
        <v>52</v>
      </c>
      <c r="N857" s="1" t="s">
        <v>63</v>
      </c>
      <c r="O857" s="1" t="s">
        <v>64</v>
      </c>
      <c r="P857" s="1" t="s">
        <v>111</v>
      </c>
      <c r="R857" s="93">
        <v>43184</v>
      </c>
      <c r="S857" s="93" t="s">
        <v>2751</v>
      </c>
    </row>
    <row r="858" spans="1:19">
      <c r="A858" s="92">
        <v>43185</v>
      </c>
      <c r="C858" s="1" t="s">
        <v>56</v>
      </c>
      <c r="E858" s="98" t="s">
        <v>1353</v>
      </c>
      <c r="F858" s="1" t="s">
        <v>1354</v>
      </c>
      <c r="G858" s="1" t="s">
        <v>2549</v>
      </c>
      <c r="H858" s="1">
        <v>2.213041</v>
      </c>
      <c r="I858" s="1" t="s">
        <v>1336</v>
      </c>
      <c r="J858" s="1">
        <v>2.213041</v>
      </c>
      <c r="K858" s="1" t="s">
        <v>136</v>
      </c>
      <c r="L858" s="1" t="s">
        <v>85</v>
      </c>
      <c r="M858" s="1" t="s">
        <v>71</v>
      </c>
      <c r="N858" s="1" t="s">
        <v>72</v>
      </c>
      <c r="O858" s="1" t="s">
        <v>64</v>
      </c>
      <c r="P858" s="1" t="s">
        <v>73</v>
      </c>
      <c r="R858" s="93">
        <v>43185</v>
      </c>
      <c r="S858" s="93" t="s">
        <v>2751</v>
      </c>
    </row>
    <row r="859" spans="1:19">
      <c r="A859" s="92">
        <v>43185</v>
      </c>
      <c r="C859" s="1" t="s">
        <v>56</v>
      </c>
      <c r="E859" s="98" t="s">
        <v>1205</v>
      </c>
      <c r="F859" s="1" t="s">
        <v>1206</v>
      </c>
      <c r="G859" s="1" t="s">
        <v>2492</v>
      </c>
      <c r="H859" s="1">
        <v>2.213041</v>
      </c>
      <c r="I859" s="1" t="s">
        <v>1336</v>
      </c>
      <c r="J859" s="1">
        <v>2.213041</v>
      </c>
      <c r="K859" s="1" t="s">
        <v>1206</v>
      </c>
      <c r="L859" s="1" t="s">
        <v>281</v>
      </c>
      <c r="M859" s="1" t="s">
        <v>71</v>
      </c>
      <c r="N859" s="1" t="s">
        <v>72</v>
      </c>
      <c r="O859" s="1" t="s">
        <v>64</v>
      </c>
      <c r="P859" s="1" t="s">
        <v>73</v>
      </c>
      <c r="R859" s="93">
        <v>43185</v>
      </c>
      <c r="S859" s="93" t="s">
        <v>2751</v>
      </c>
    </row>
    <row r="860" spans="1:19">
      <c r="A860" s="92">
        <v>43185</v>
      </c>
      <c r="C860" s="1" t="s">
        <v>56</v>
      </c>
      <c r="E860" s="98" t="s">
        <v>1361</v>
      </c>
      <c r="F860" s="1" t="s">
        <v>1362</v>
      </c>
      <c r="G860" s="1" t="s">
        <v>2553</v>
      </c>
      <c r="H860" s="1">
        <v>14.185592999999999</v>
      </c>
      <c r="I860" s="1" t="s">
        <v>1336</v>
      </c>
      <c r="J860" s="1">
        <v>14.185592999999999</v>
      </c>
      <c r="K860" s="1" t="s">
        <v>461</v>
      </c>
      <c r="L860" s="1" t="s">
        <v>85</v>
      </c>
      <c r="M860" s="1" t="s">
        <v>71</v>
      </c>
      <c r="N860" s="1" t="s">
        <v>72</v>
      </c>
      <c r="O860" s="1" t="s">
        <v>64</v>
      </c>
      <c r="P860" s="1" t="s">
        <v>73</v>
      </c>
      <c r="R860" s="93">
        <v>43185</v>
      </c>
      <c r="S860" s="93" t="s">
        <v>2751</v>
      </c>
    </row>
    <row r="861" spans="1:19">
      <c r="A861" s="92">
        <v>43185</v>
      </c>
      <c r="C861" s="1" t="s">
        <v>56</v>
      </c>
      <c r="E861" s="98" t="s">
        <v>1361</v>
      </c>
      <c r="F861" s="1" t="s">
        <v>1362</v>
      </c>
      <c r="G861" s="1" t="s">
        <v>2553</v>
      </c>
      <c r="H861" s="1">
        <v>15.690460999999999</v>
      </c>
      <c r="I861" s="1" t="s">
        <v>1336</v>
      </c>
      <c r="J861" s="1">
        <v>15.690460999999999</v>
      </c>
      <c r="K861" s="1" t="s">
        <v>461</v>
      </c>
      <c r="L861" s="1" t="s">
        <v>85</v>
      </c>
      <c r="M861" s="1" t="s">
        <v>71</v>
      </c>
      <c r="N861" s="1" t="s">
        <v>72</v>
      </c>
      <c r="O861" s="1" t="s">
        <v>64</v>
      </c>
      <c r="P861" s="1" t="s">
        <v>73</v>
      </c>
      <c r="R861" s="93">
        <v>43185</v>
      </c>
      <c r="S861" s="93" t="s">
        <v>2751</v>
      </c>
    </row>
    <row r="862" spans="1:19">
      <c r="A862" s="92">
        <v>43185</v>
      </c>
      <c r="C862" s="1" t="s">
        <v>56</v>
      </c>
      <c r="E862" s="98" t="s">
        <v>366</v>
      </c>
      <c r="F862" s="1" t="s">
        <v>367</v>
      </c>
      <c r="G862" s="1" t="s">
        <v>2172</v>
      </c>
      <c r="H862" s="1">
        <v>2</v>
      </c>
      <c r="I862" s="1" t="s">
        <v>1336</v>
      </c>
      <c r="J862" s="1">
        <v>2</v>
      </c>
      <c r="K862" s="1" t="s">
        <v>136</v>
      </c>
      <c r="L862" s="1" t="s">
        <v>85</v>
      </c>
      <c r="M862" s="1" t="s">
        <v>71</v>
      </c>
      <c r="N862" s="1" t="s">
        <v>72</v>
      </c>
      <c r="O862" s="1" t="s">
        <v>64</v>
      </c>
      <c r="P862" s="1" t="s">
        <v>73</v>
      </c>
      <c r="R862" s="93">
        <v>43185</v>
      </c>
      <c r="S862" s="93" t="s">
        <v>2751</v>
      </c>
    </row>
    <row r="863" spans="1:19">
      <c r="A863" s="92">
        <v>43183</v>
      </c>
      <c r="C863" s="1" t="s">
        <v>56</v>
      </c>
      <c r="E863" s="98" t="s">
        <v>686</v>
      </c>
      <c r="F863" s="1" t="s">
        <v>687</v>
      </c>
      <c r="G863" s="1" t="s">
        <v>2293</v>
      </c>
      <c r="H863" s="1">
        <v>15</v>
      </c>
      <c r="I863" s="1" t="s">
        <v>1363</v>
      </c>
      <c r="J863" s="1">
        <v>9</v>
      </c>
      <c r="K863" s="1" t="s">
        <v>688</v>
      </c>
      <c r="L863" s="1" t="s">
        <v>131</v>
      </c>
      <c r="M863" s="1" t="s">
        <v>132</v>
      </c>
      <c r="N863" s="1" t="s">
        <v>72</v>
      </c>
      <c r="O863" s="1" t="s">
        <v>64</v>
      </c>
      <c r="P863" s="1" t="s">
        <v>133</v>
      </c>
      <c r="R863" s="93">
        <v>43183</v>
      </c>
      <c r="S863" s="93" t="s">
        <v>2752</v>
      </c>
    </row>
    <row r="864" spans="1:19">
      <c r="A864" s="92">
        <v>43183</v>
      </c>
      <c r="C864" s="1" t="s">
        <v>56</v>
      </c>
      <c r="E864" s="98" t="s">
        <v>686</v>
      </c>
      <c r="F864" s="1" t="s">
        <v>687</v>
      </c>
      <c r="G864" s="1" t="s">
        <v>2293</v>
      </c>
      <c r="H864" s="1">
        <v>5</v>
      </c>
      <c r="I864" s="1" t="s">
        <v>1363</v>
      </c>
      <c r="J864" s="1">
        <v>3</v>
      </c>
      <c r="K864" s="1" t="s">
        <v>688</v>
      </c>
      <c r="L864" s="1" t="s">
        <v>131</v>
      </c>
      <c r="M864" s="1" t="s">
        <v>132</v>
      </c>
      <c r="N864" s="1" t="s">
        <v>72</v>
      </c>
      <c r="O864" s="1" t="s">
        <v>64</v>
      </c>
      <c r="P864" s="1" t="s">
        <v>133</v>
      </c>
      <c r="R864" s="93">
        <v>43183</v>
      </c>
      <c r="S864" s="93" t="s">
        <v>2752</v>
      </c>
    </row>
    <row r="865" spans="1:19">
      <c r="A865" s="92">
        <v>43184</v>
      </c>
      <c r="C865" s="1" t="s">
        <v>56</v>
      </c>
      <c r="E865" s="98" t="s">
        <v>1364</v>
      </c>
      <c r="F865" s="1" t="s">
        <v>1365</v>
      </c>
      <c r="G865" s="1" t="s">
        <v>2554</v>
      </c>
      <c r="H865" s="1">
        <v>4</v>
      </c>
      <c r="I865" s="1" t="s">
        <v>1363</v>
      </c>
      <c r="J865" s="1">
        <v>2.4</v>
      </c>
      <c r="K865" s="1" t="s">
        <v>434</v>
      </c>
      <c r="L865" s="1" t="s">
        <v>269</v>
      </c>
      <c r="M865" s="1" t="s">
        <v>132</v>
      </c>
      <c r="N865" s="1" t="s">
        <v>72</v>
      </c>
      <c r="O865" s="1" t="s">
        <v>64</v>
      </c>
      <c r="P865" s="1" t="s">
        <v>133</v>
      </c>
      <c r="R865" s="93">
        <v>43184</v>
      </c>
      <c r="S865" s="93" t="s">
        <v>2752</v>
      </c>
    </row>
    <row r="866" spans="1:19">
      <c r="A866" s="92">
        <v>43184</v>
      </c>
      <c r="C866" s="1" t="s">
        <v>66</v>
      </c>
      <c r="E866" s="98" t="s">
        <v>1334</v>
      </c>
      <c r="F866" s="1" t="s">
        <v>1335</v>
      </c>
      <c r="G866" s="1" t="s">
        <v>2540</v>
      </c>
      <c r="H866" s="1">
        <v>5</v>
      </c>
      <c r="I866" s="1" t="s">
        <v>1366</v>
      </c>
      <c r="J866" s="1">
        <v>5</v>
      </c>
      <c r="K866" s="1" t="s">
        <v>219</v>
      </c>
      <c r="L866" s="1" t="s">
        <v>70</v>
      </c>
      <c r="M866" s="1" t="s">
        <v>71</v>
      </c>
      <c r="N866" s="1" t="s">
        <v>72</v>
      </c>
      <c r="O866" s="1" t="s">
        <v>64</v>
      </c>
      <c r="P866" s="1" t="s">
        <v>73</v>
      </c>
      <c r="R866" s="93">
        <v>43184</v>
      </c>
      <c r="S866" s="93" t="s">
        <v>2751</v>
      </c>
    </row>
    <row r="867" spans="1:19">
      <c r="A867" s="92">
        <v>43183</v>
      </c>
      <c r="C867" s="1" t="s">
        <v>56</v>
      </c>
      <c r="E867" s="98" t="s">
        <v>1368</v>
      </c>
      <c r="F867" s="1" t="s">
        <v>1369</v>
      </c>
      <c r="G867" s="1" t="s">
        <v>2555</v>
      </c>
      <c r="H867" s="1">
        <v>1</v>
      </c>
      <c r="I867" s="1" t="s">
        <v>1370</v>
      </c>
      <c r="J867" s="1">
        <v>0.3</v>
      </c>
      <c r="K867" s="1" t="s">
        <v>563</v>
      </c>
      <c r="L867" s="1" t="s">
        <v>281</v>
      </c>
      <c r="M867" s="1" t="s">
        <v>71</v>
      </c>
      <c r="N867" s="1" t="s">
        <v>72</v>
      </c>
      <c r="O867" s="1" t="s">
        <v>64</v>
      </c>
      <c r="P867" s="1" t="s">
        <v>73</v>
      </c>
      <c r="R867" s="93">
        <v>43183</v>
      </c>
      <c r="S867" s="93" t="s">
        <v>2753</v>
      </c>
    </row>
    <row r="868" spans="1:19">
      <c r="A868" s="92">
        <v>43183</v>
      </c>
      <c r="C868" s="1" t="s">
        <v>56</v>
      </c>
      <c r="E868" s="98" t="s">
        <v>977</v>
      </c>
      <c r="F868" s="1" t="s">
        <v>978</v>
      </c>
      <c r="G868" s="1" t="s">
        <v>2408</v>
      </c>
      <c r="H868" s="1">
        <v>4</v>
      </c>
      <c r="I868" s="1" t="s">
        <v>1370</v>
      </c>
      <c r="J868" s="1">
        <v>1.2</v>
      </c>
      <c r="K868" s="1" t="s">
        <v>136</v>
      </c>
      <c r="L868" s="1" t="s">
        <v>85</v>
      </c>
      <c r="M868" s="1" t="s">
        <v>71</v>
      </c>
      <c r="N868" s="1" t="s">
        <v>72</v>
      </c>
      <c r="O868" s="1" t="s">
        <v>64</v>
      </c>
      <c r="P868" s="1" t="s">
        <v>73</v>
      </c>
      <c r="R868" s="93">
        <v>43183</v>
      </c>
      <c r="S868" s="93" t="s">
        <v>2753</v>
      </c>
    </row>
    <row r="869" spans="1:19">
      <c r="A869" s="92">
        <v>43183</v>
      </c>
      <c r="C869" s="1" t="s">
        <v>56</v>
      </c>
      <c r="E869" s="98" t="s">
        <v>363</v>
      </c>
      <c r="F869" s="1" t="s">
        <v>364</v>
      </c>
      <c r="G869" s="1" t="s">
        <v>2171</v>
      </c>
      <c r="H869" s="1">
        <v>2</v>
      </c>
      <c r="I869" s="1" t="s">
        <v>1370</v>
      </c>
      <c r="J869" s="1">
        <v>0.6</v>
      </c>
      <c r="K869" s="1" t="s">
        <v>365</v>
      </c>
      <c r="L869" s="1" t="s">
        <v>102</v>
      </c>
      <c r="M869" s="1" t="s">
        <v>94</v>
      </c>
      <c r="N869" s="1" t="s">
        <v>72</v>
      </c>
      <c r="O869" s="1" t="s">
        <v>64</v>
      </c>
      <c r="P869" s="1" t="s">
        <v>95</v>
      </c>
      <c r="R869" s="93">
        <v>43183</v>
      </c>
      <c r="S869" s="93" t="s">
        <v>2753</v>
      </c>
    </row>
    <row r="870" spans="1:19">
      <c r="A870" s="92">
        <v>43183</v>
      </c>
      <c r="C870" s="1" t="s">
        <v>66</v>
      </c>
      <c r="E870" s="98" t="s">
        <v>1371</v>
      </c>
      <c r="F870" s="1" t="s">
        <v>1372</v>
      </c>
      <c r="G870" s="1" t="s">
        <v>2556</v>
      </c>
      <c r="H870" s="1">
        <v>2.08</v>
      </c>
      <c r="I870" s="1" t="s">
        <v>1370</v>
      </c>
      <c r="J870" s="1">
        <v>0.624</v>
      </c>
      <c r="K870" s="1" t="s">
        <v>1373</v>
      </c>
      <c r="L870" s="1" t="s">
        <v>253</v>
      </c>
      <c r="M870" s="1" t="s">
        <v>94</v>
      </c>
      <c r="N870" s="1" t="s">
        <v>72</v>
      </c>
      <c r="O870" s="1" t="s">
        <v>64</v>
      </c>
      <c r="P870" s="1" t="s">
        <v>95</v>
      </c>
      <c r="R870" s="93">
        <v>43183</v>
      </c>
      <c r="S870" s="93" t="s">
        <v>2753</v>
      </c>
    </row>
    <row r="871" spans="1:19">
      <c r="A871" s="92">
        <v>43184</v>
      </c>
      <c r="C871" s="1" t="s">
        <v>56</v>
      </c>
      <c r="E871" s="98" t="s">
        <v>1376</v>
      </c>
      <c r="F871" s="1" t="s">
        <v>1377</v>
      </c>
      <c r="G871" s="1" t="s">
        <v>2557</v>
      </c>
      <c r="H871" s="1">
        <v>30</v>
      </c>
      <c r="I871" s="1" t="s">
        <v>1370</v>
      </c>
      <c r="J871" s="1">
        <v>9</v>
      </c>
      <c r="K871" s="1" t="s">
        <v>1156</v>
      </c>
      <c r="L871" s="1" t="s">
        <v>150</v>
      </c>
      <c r="M871" s="1" t="s">
        <v>132</v>
      </c>
      <c r="N871" s="1" t="s">
        <v>72</v>
      </c>
      <c r="O871" s="1" t="s">
        <v>64</v>
      </c>
      <c r="P871" s="1" t="s">
        <v>133</v>
      </c>
      <c r="R871" s="93">
        <v>43184</v>
      </c>
      <c r="S871" s="93" t="s">
        <v>2753</v>
      </c>
    </row>
    <row r="872" spans="1:19">
      <c r="A872" s="92">
        <v>43184</v>
      </c>
      <c r="C872" s="1" t="s">
        <v>66</v>
      </c>
      <c r="E872" s="98" t="s">
        <v>1306</v>
      </c>
      <c r="F872" s="1" t="s">
        <v>1307</v>
      </c>
      <c r="G872" s="1" t="s">
        <v>2528</v>
      </c>
      <c r="H872" s="1">
        <v>2</v>
      </c>
      <c r="I872" s="1" t="s">
        <v>1370</v>
      </c>
      <c r="J872" s="1">
        <v>0.6</v>
      </c>
      <c r="K872" s="1" t="s">
        <v>149</v>
      </c>
      <c r="L872" s="1" t="s">
        <v>150</v>
      </c>
      <c r="M872" s="1" t="s">
        <v>132</v>
      </c>
      <c r="N872" s="1" t="s">
        <v>72</v>
      </c>
      <c r="O872" s="1" t="s">
        <v>64</v>
      </c>
      <c r="P872" s="1" t="s">
        <v>133</v>
      </c>
      <c r="R872" s="93">
        <v>43184</v>
      </c>
      <c r="S872" s="93" t="s">
        <v>2753</v>
      </c>
    </row>
    <row r="873" spans="1:19">
      <c r="A873" s="92">
        <v>43184</v>
      </c>
      <c r="C873" s="1" t="s">
        <v>66</v>
      </c>
      <c r="E873" s="98" t="s">
        <v>1378</v>
      </c>
      <c r="F873" s="1" t="s">
        <v>1379</v>
      </c>
      <c r="G873" s="1" t="s">
        <v>2558</v>
      </c>
      <c r="H873" s="1">
        <v>0.2</v>
      </c>
      <c r="I873" s="1" t="s">
        <v>1370</v>
      </c>
      <c r="J873" s="1">
        <v>0.06</v>
      </c>
      <c r="K873" s="1" t="s">
        <v>167</v>
      </c>
      <c r="L873" s="1" t="s">
        <v>117</v>
      </c>
      <c r="M873" s="1" t="s">
        <v>2661</v>
      </c>
      <c r="N873" s="1" t="s">
        <v>72</v>
      </c>
      <c r="O873" s="1" t="s">
        <v>64</v>
      </c>
      <c r="P873" s="1" t="s">
        <v>53</v>
      </c>
      <c r="R873" s="93">
        <v>43184</v>
      </c>
      <c r="S873" s="93" t="s">
        <v>2753</v>
      </c>
    </row>
    <row r="874" spans="1:19">
      <c r="A874" s="92">
        <v>43184</v>
      </c>
      <c r="C874" s="1" t="s">
        <v>56</v>
      </c>
      <c r="E874" s="98" t="s">
        <v>1380</v>
      </c>
      <c r="F874" s="1" t="s">
        <v>1381</v>
      </c>
      <c r="G874" s="1" t="s">
        <v>2559</v>
      </c>
      <c r="H874" s="1">
        <v>2</v>
      </c>
      <c r="I874" s="1" t="s">
        <v>1370</v>
      </c>
      <c r="J874" s="1">
        <v>0.6</v>
      </c>
      <c r="K874" s="1" t="s">
        <v>226</v>
      </c>
      <c r="L874" s="1" t="s">
        <v>117</v>
      </c>
      <c r="M874" s="1" t="s">
        <v>2661</v>
      </c>
      <c r="N874" s="1" t="s">
        <v>72</v>
      </c>
      <c r="O874" s="1" t="s">
        <v>64</v>
      </c>
      <c r="P874" s="1" t="s">
        <v>53</v>
      </c>
      <c r="R874" s="93">
        <v>43184</v>
      </c>
      <c r="S874" s="93" t="s">
        <v>2753</v>
      </c>
    </row>
    <row r="875" spans="1:19">
      <c r="A875" s="92">
        <v>43184</v>
      </c>
      <c r="C875" s="1" t="s">
        <v>56</v>
      </c>
      <c r="E875" s="98" t="s">
        <v>1382</v>
      </c>
      <c r="F875" s="1" t="s">
        <v>1383</v>
      </c>
      <c r="G875" s="1" t="s">
        <v>2560</v>
      </c>
      <c r="H875" s="1">
        <v>4.8</v>
      </c>
      <c r="I875" s="1" t="s">
        <v>1370</v>
      </c>
      <c r="J875" s="1">
        <v>1.44</v>
      </c>
      <c r="K875" s="1" t="s">
        <v>93</v>
      </c>
      <c r="L875" s="1" t="s">
        <v>93</v>
      </c>
      <c r="M875" s="1" t="s">
        <v>94</v>
      </c>
      <c r="N875" s="1" t="s">
        <v>72</v>
      </c>
      <c r="O875" s="1" t="s">
        <v>64</v>
      </c>
      <c r="P875" s="1" t="s">
        <v>95</v>
      </c>
      <c r="R875" s="93">
        <v>43184</v>
      </c>
      <c r="S875" s="93" t="s">
        <v>2753</v>
      </c>
    </row>
    <row r="876" spans="1:19">
      <c r="A876" s="92">
        <v>43184</v>
      </c>
      <c r="C876" s="1" t="s">
        <v>56</v>
      </c>
      <c r="E876" s="98" t="s">
        <v>1259</v>
      </c>
      <c r="F876" s="1" t="s">
        <v>1260</v>
      </c>
      <c r="G876" s="1" t="s">
        <v>2509</v>
      </c>
      <c r="H876" s="1">
        <v>12.41</v>
      </c>
      <c r="I876" s="1" t="s">
        <v>1370</v>
      </c>
      <c r="J876" s="1">
        <v>3.7229999999999999</v>
      </c>
      <c r="K876" s="1" t="s">
        <v>437</v>
      </c>
      <c r="L876" s="1" t="s">
        <v>105</v>
      </c>
      <c r="M876" s="1" t="s">
        <v>62</v>
      </c>
      <c r="N876" s="1" t="s">
        <v>63</v>
      </c>
      <c r="O876" s="1" t="s">
        <v>64</v>
      </c>
      <c r="P876" s="1" t="s">
        <v>65</v>
      </c>
      <c r="R876" s="93">
        <v>43184</v>
      </c>
      <c r="S876" s="93" t="s">
        <v>2753</v>
      </c>
    </row>
    <row r="877" spans="1:19">
      <c r="A877" s="92">
        <v>43185</v>
      </c>
      <c r="C877" s="1" t="s">
        <v>56</v>
      </c>
      <c r="E877" s="98" t="s">
        <v>254</v>
      </c>
      <c r="F877" s="1" t="s">
        <v>255</v>
      </c>
      <c r="G877" s="1" t="s">
        <v>2041</v>
      </c>
      <c r="H877" s="1">
        <v>2.08</v>
      </c>
      <c r="I877" s="1" t="s">
        <v>1370</v>
      </c>
      <c r="J877" s="1">
        <v>0.624</v>
      </c>
      <c r="K877" s="1" t="s">
        <v>150</v>
      </c>
      <c r="L877" s="1" t="s">
        <v>150</v>
      </c>
      <c r="M877" s="1" t="s">
        <v>132</v>
      </c>
      <c r="N877" s="1" t="s">
        <v>72</v>
      </c>
      <c r="O877" s="1" t="s">
        <v>64</v>
      </c>
      <c r="P877" s="1" t="s">
        <v>133</v>
      </c>
      <c r="R877" s="93">
        <v>43185</v>
      </c>
      <c r="S877" s="93" t="s">
        <v>2753</v>
      </c>
    </row>
    <row r="878" spans="1:19">
      <c r="A878" s="92">
        <v>43185</v>
      </c>
      <c r="C878" s="1" t="s">
        <v>66</v>
      </c>
      <c r="E878" s="98" t="s">
        <v>1384</v>
      </c>
      <c r="F878" s="1" t="s">
        <v>685</v>
      </c>
      <c r="G878" s="1" t="s">
        <v>2561</v>
      </c>
      <c r="H878" s="1">
        <v>0.1</v>
      </c>
      <c r="I878" s="1" t="s">
        <v>1370</v>
      </c>
      <c r="J878" s="1">
        <v>0.03</v>
      </c>
      <c r="K878" s="1" t="s">
        <v>127</v>
      </c>
      <c r="L878" s="1" t="s">
        <v>110</v>
      </c>
      <c r="M878" s="1" t="s">
        <v>52</v>
      </c>
      <c r="N878" s="1" t="s">
        <v>63</v>
      </c>
      <c r="O878" s="1" t="s">
        <v>64</v>
      </c>
      <c r="P878" s="1" t="s">
        <v>111</v>
      </c>
      <c r="R878" s="93">
        <v>43185</v>
      </c>
      <c r="S878" s="93" t="s">
        <v>2753</v>
      </c>
    </row>
    <row r="879" spans="1:19">
      <c r="A879" s="92">
        <v>43185</v>
      </c>
      <c r="C879" s="1" t="s">
        <v>56</v>
      </c>
      <c r="E879" s="98" t="s">
        <v>800</v>
      </c>
      <c r="F879" s="1" t="s">
        <v>801</v>
      </c>
      <c r="G879" s="1" t="s">
        <v>1990</v>
      </c>
      <c r="H879" s="1">
        <v>3.61</v>
      </c>
      <c r="I879" s="1" t="s">
        <v>1385</v>
      </c>
      <c r="J879" s="1">
        <v>1.083</v>
      </c>
      <c r="K879" s="1" t="s">
        <v>358</v>
      </c>
      <c r="L879" s="1" t="s">
        <v>117</v>
      </c>
      <c r="M879" s="1" t="s">
        <v>2661</v>
      </c>
      <c r="N879" s="1" t="s">
        <v>72</v>
      </c>
      <c r="O879" s="1" t="s">
        <v>64</v>
      </c>
      <c r="P879" s="1" t="s">
        <v>53</v>
      </c>
      <c r="R879" s="93">
        <v>43185</v>
      </c>
      <c r="S879" s="93" t="s">
        <v>2754</v>
      </c>
    </row>
    <row r="880" spans="1:19">
      <c r="A880" s="92">
        <v>43185</v>
      </c>
      <c r="C880" s="1" t="s">
        <v>56</v>
      </c>
      <c r="E880" s="98" t="s">
        <v>541</v>
      </c>
      <c r="F880" s="1" t="s">
        <v>542</v>
      </c>
      <c r="G880" s="1" t="s">
        <v>2079</v>
      </c>
      <c r="H880" s="1">
        <v>1.5</v>
      </c>
      <c r="I880" s="1" t="s">
        <v>1385</v>
      </c>
      <c r="J880" s="1">
        <v>0.45</v>
      </c>
      <c r="K880" s="1" t="s">
        <v>172</v>
      </c>
      <c r="L880" s="1" t="s">
        <v>131</v>
      </c>
      <c r="M880" s="1" t="s">
        <v>132</v>
      </c>
      <c r="N880" s="1" t="s">
        <v>72</v>
      </c>
      <c r="O880" s="1" t="s">
        <v>64</v>
      </c>
      <c r="P880" s="1" t="s">
        <v>133</v>
      </c>
      <c r="R880" s="93">
        <v>43185</v>
      </c>
      <c r="S880" s="93" t="s">
        <v>2754</v>
      </c>
    </row>
    <row r="881" spans="1:19">
      <c r="A881" s="92">
        <v>43185</v>
      </c>
      <c r="C881" s="1" t="s">
        <v>66</v>
      </c>
      <c r="E881" s="98" t="s">
        <v>1386</v>
      </c>
      <c r="F881" s="1" t="s">
        <v>1387</v>
      </c>
      <c r="G881" s="1" t="s">
        <v>2562</v>
      </c>
      <c r="H881" s="1">
        <v>5</v>
      </c>
      <c r="I881" s="1" t="s">
        <v>1385</v>
      </c>
      <c r="J881" s="1">
        <v>1.5</v>
      </c>
      <c r="K881" s="1" t="s">
        <v>1149</v>
      </c>
      <c r="L881" s="1" t="s">
        <v>105</v>
      </c>
      <c r="M881" s="1" t="s">
        <v>62</v>
      </c>
      <c r="N881" s="1" t="s">
        <v>63</v>
      </c>
      <c r="O881" s="1" t="s">
        <v>64</v>
      </c>
      <c r="P881" s="1" t="s">
        <v>65</v>
      </c>
      <c r="R881" s="93">
        <v>43185</v>
      </c>
      <c r="S881" s="93" t="s">
        <v>2754</v>
      </c>
    </row>
    <row r="882" spans="1:19">
      <c r="A882" s="92">
        <v>43185</v>
      </c>
      <c r="C882" s="1" t="s">
        <v>66</v>
      </c>
      <c r="E882" s="98" t="s">
        <v>1388</v>
      </c>
      <c r="F882" s="1" t="s">
        <v>1389</v>
      </c>
      <c r="G882" s="1" t="s">
        <v>2563</v>
      </c>
      <c r="H882" s="1">
        <v>0.3</v>
      </c>
      <c r="I882" s="1" t="s">
        <v>1385</v>
      </c>
      <c r="J882" s="1">
        <v>0.09</v>
      </c>
      <c r="K882" s="1" t="s">
        <v>167</v>
      </c>
      <c r="L882" s="1" t="s">
        <v>117</v>
      </c>
      <c r="M882" s="1" t="s">
        <v>2661</v>
      </c>
      <c r="N882" s="1" t="s">
        <v>72</v>
      </c>
      <c r="O882" s="1" t="s">
        <v>64</v>
      </c>
      <c r="P882" s="1" t="s">
        <v>53</v>
      </c>
      <c r="R882" s="93">
        <v>43185</v>
      </c>
      <c r="S882" s="93" t="s">
        <v>2754</v>
      </c>
    </row>
    <row r="883" spans="1:19">
      <c r="A883" s="92">
        <v>43185</v>
      </c>
      <c r="C883" s="1" t="s">
        <v>66</v>
      </c>
      <c r="E883" s="98" t="s">
        <v>1388</v>
      </c>
      <c r="F883" s="1" t="s">
        <v>1389</v>
      </c>
      <c r="G883" s="1" t="s">
        <v>2563</v>
      </c>
      <c r="H883" s="1">
        <v>0.05</v>
      </c>
      <c r="I883" s="1" t="s">
        <v>1385</v>
      </c>
      <c r="J883" s="1">
        <v>1.4999999999999999E-2</v>
      </c>
      <c r="K883" s="1" t="s">
        <v>167</v>
      </c>
      <c r="L883" s="1" t="s">
        <v>117</v>
      </c>
      <c r="M883" s="1" t="s">
        <v>2661</v>
      </c>
      <c r="N883" s="1" t="s">
        <v>72</v>
      </c>
      <c r="O883" s="1" t="s">
        <v>64</v>
      </c>
      <c r="P883" s="1" t="s">
        <v>53</v>
      </c>
      <c r="R883" s="93">
        <v>43185</v>
      </c>
      <c r="S883" s="93" t="s">
        <v>2754</v>
      </c>
    </row>
    <row r="884" spans="1:19">
      <c r="A884" s="92">
        <v>43185</v>
      </c>
      <c r="C884" s="1" t="s">
        <v>56</v>
      </c>
      <c r="E884" s="98" t="s">
        <v>1390</v>
      </c>
      <c r="F884" s="1" t="s">
        <v>1391</v>
      </c>
      <c r="G884" s="1" t="s">
        <v>2564</v>
      </c>
      <c r="H884" s="1">
        <v>2</v>
      </c>
      <c r="I884" s="1" t="s">
        <v>1385</v>
      </c>
      <c r="J884" s="1">
        <v>0.6</v>
      </c>
      <c r="K884" s="1" t="s">
        <v>70</v>
      </c>
      <c r="L884" s="1" t="s">
        <v>70</v>
      </c>
      <c r="M884" s="1" t="s">
        <v>71</v>
      </c>
      <c r="N884" s="1" t="s">
        <v>72</v>
      </c>
      <c r="O884" s="1" t="s">
        <v>64</v>
      </c>
      <c r="P884" s="1" t="s">
        <v>73</v>
      </c>
      <c r="R884" s="93">
        <v>43185</v>
      </c>
      <c r="S884" s="93" t="s">
        <v>2754</v>
      </c>
    </row>
    <row r="885" spans="1:19">
      <c r="A885" s="92">
        <v>43185</v>
      </c>
      <c r="C885" s="1" t="s">
        <v>56</v>
      </c>
      <c r="E885" s="98" t="s">
        <v>1392</v>
      </c>
      <c r="F885" s="1" t="s">
        <v>1393</v>
      </c>
      <c r="G885" s="1" t="s">
        <v>2565</v>
      </c>
      <c r="H885" s="1">
        <v>2</v>
      </c>
      <c r="I885" s="1" t="s">
        <v>1385</v>
      </c>
      <c r="J885" s="1">
        <v>0.6</v>
      </c>
      <c r="K885" s="1" t="s">
        <v>403</v>
      </c>
      <c r="L885" s="1" t="s">
        <v>216</v>
      </c>
      <c r="M885" s="1" t="s">
        <v>52</v>
      </c>
      <c r="N885" s="1" t="s">
        <v>63</v>
      </c>
      <c r="O885" s="1" t="s">
        <v>64</v>
      </c>
      <c r="P885" s="1" t="s">
        <v>111</v>
      </c>
      <c r="R885" s="93">
        <v>43185</v>
      </c>
      <c r="S885" s="93" t="s">
        <v>2754</v>
      </c>
    </row>
    <row r="886" spans="1:19">
      <c r="A886" s="92">
        <v>43185</v>
      </c>
      <c r="C886" s="1" t="s">
        <v>56</v>
      </c>
      <c r="E886" s="98" t="s">
        <v>357</v>
      </c>
      <c r="F886" s="1" t="s">
        <v>358</v>
      </c>
      <c r="G886" s="1" t="s">
        <v>2027</v>
      </c>
      <c r="H886" s="1">
        <v>5.0138350000000003</v>
      </c>
      <c r="I886" s="1" t="s">
        <v>1394</v>
      </c>
      <c r="J886" s="1">
        <v>5.0138350000000003</v>
      </c>
      <c r="K886" s="1" t="s">
        <v>358</v>
      </c>
      <c r="L886" s="1" t="s">
        <v>117</v>
      </c>
      <c r="M886" s="1" t="s">
        <v>2661</v>
      </c>
      <c r="N886" s="1" t="s">
        <v>72</v>
      </c>
      <c r="O886" s="1" t="s">
        <v>64</v>
      </c>
      <c r="P886" s="1" t="s">
        <v>53</v>
      </c>
      <c r="R886" s="93">
        <v>43185</v>
      </c>
      <c r="S886" s="93" t="s">
        <v>2755</v>
      </c>
    </row>
    <row r="887" spans="1:19">
      <c r="A887" s="92">
        <v>43185</v>
      </c>
      <c r="C887" s="1" t="s">
        <v>56</v>
      </c>
      <c r="E887" s="98" t="s">
        <v>515</v>
      </c>
      <c r="F887" s="1" t="s">
        <v>516</v>
      </c>
      <c r="G887" s="1" t="s">
        <v>2229</v>
      </c>
      <c r="H887" s="1">
        <v>5.015479</v>
      </c>
      <c r="I887" s="1" t="s">
        <v>1394</v>
      </c>
      <c r="J887" s="1">
        <v>5.015479</v>
      </c>
      <c r="K887" s="1" t="s">
        <v>281</v>
      </c>
      <c r="L887" s="1" t="s">
        <v>281</v>
      </c>
      <c r="M887" s="1" t="s">
        <v>71</v>
      </c>
      <c r="N887" s="1" t="s">
        <v>72</v>
      </c>
      <c r="O887" s="1" t="s">
        <v>64</v>
      </c>
      <c r="P887" s="1" t="s">
        <v>73</v>
      </c>
      <c r="R887" s="93">
        <v>43185</v>
      </c>
      <c r="S887" s="93" t="s">
        <v>2755</v>
      </c>
    </row>
    <row r="888" spans="1:19">
      <c r="A888" s="92">
        <v>43185</v>
      </c>
      <c r="C888" s="1" t="s">
        <v>56</v>
      </c>
      <c r="E888" s="98" t="s">
        <v>541</v>
      </c>
      <c r="F888" s="1" t="s">
        <v>542</v>
      </c>
      <c r="G888" s="1" t="s">
        <v>2079</v>
      </c>
      <c r="H888" s="1">
        <v>0.2</v>
      </c>
      <c r="I888" s="1" t="s">
        <v>1395</v>
      </c>
      <c r="J888" s="1">
        <v>0.12</v>
      </c>
      <c r="K888" s="1" t="s">
        <v>172</v>
      </c>
      <c r="L888" s="1" t="s">
        <v>131</v>
      </c>
      <c r="M888" s="1" t="s">
        <v>132</v>
      </c>
      <c r="N888" s="1" t="s">
        <v>72</v>
      </c>
      <c r="O888" s="1" t="s">
        <v>64</v>
      </c>
      <c r="P888" s="1" t="s">
        <v>133</v>
      </c>
      <c r="R888" s="93">
        <v>43185</v>
      </c>
      <c r="S888" s="93" t="s">
        <v>2756</v>
      </c>
    </row>
    <row r="889" spans="1:19">
      <c r="A889" s="92">
        <v>43185</v>
      </c>
      <c r="C889" s="1" t="s">
        <v>66</v>
      </c>
      <c r="E889" s="98" t="s">
        <v>1396</v>
      </c>
      <c r="F889" s="1" t="s">
        <v>1397</v>
      </c>
      <c r="G889" s="1" t="s">
        <v>2566</v>
      </c>
      <c r="H889" s="1">
        <v>5</v>
      </c>
      <c r="I889" s="1" t="s">
        <v>1395</v>
      </c>
      <c r="J889" s="1">
        <v>3</v>
      </c>
      <c r="K889" s="1" t="s">
        <v>136</v>
      </c>
      <c r="L889" s="1" t="s">
        <v>85</v>
      </c>
      <c r="M889" s="1" t="s">
        <v>71</v>
      </c>
      <c r="N889" s="1" t="s">
        <v>72</v>
      </c>
      <c r="O889" s="1" t="s">
        <v>64</v>
      </c>
      <c r="P889" s="1" t="s">
        <v>73</v>
      </c>
      <c r="R889" s="93">
        <v>43185</v>
      </c>
      <c r="S889" s="93" t="s">
        <v>2756</v>
      </c>
    </row>
    <row r="890" spans="1:19">
      <c r="A890" s="92">
        <v>43185</v>
      </c>
      <c r="C890" s="1" t="s">
        <v>56</v>
      </c>
      <c r="E890" s="98" t="s">
        <v>1398</v>
      </c>
      <c r="F890" s="1" t="s">
        <v>1399</v>
      </c>
      <c r="G890" s="1" t="s">
        <v>2567</v>
      </c>
      <c r="H890" s="1">
        <v>5</v>
      </c>
      <c r="I890" s="1" t="s">
        <v>1400</v>
      </c>
      <c r="J890" s="1">
        <v>5</v>
      </c>
      <c r="K890" s="1" t="s">
        <v>150</v>
      </c>
      <c r="L890" s="1" t="s">
        <v>150</v>
      </c>
      <c r="M890" s="1" t="s">
        <v>132</v>
      </c>
      <c r="N890" s="1" t="s">
        <v>72</v>
      </c>
      <c r="O890" s="1" t="s">
        <v>64</v>
      </c>
      <c r="P890" s="1" t="s">
        <v>133</v>
      </c>
      <c r="R890" s="93">
        <v>43185</v>
      </c>
      <c r="S890" s="93" t="s">
        <v>2755</v>
      </c>
    </row>
    <row r="891" spans="1:19">
      <c r="A891" s="92">
        <v>43185</v>
      </c>
      <c r="C891" s="1" t="s">
        <v>56</v>
      </c>
      <c r="E891" s="98" t="s">
        <v>1401</v>
      </c>
      <c r="F891" s="1" t="s">
        <v>1402</v>
      </c>
      <c r="G891" s="1" t="s">
        <v>2568</v>
      </c>
      <c r="H891" s="1">
        <v>1</v>
      </c>
      <c r="I891" s="1" t="s">
        <v>1400</v>
      </c>
      <c r="J891" s="1">
        <v>1</v>
      </c>
      <c r="K891" s="1" t="s">
        <v>274</v>
      </c>
      <c r="L891" s="1" t="s">
        <v>216</v>
      </c>
      <c r="M891" s="1" t="s">
        <v>52</v>
      </c>
      <c r="N891" s="1" t="s">
        <v>63</v>
      </c>
      <c r="O891" s="1" t="s">
        <v>64</v>
      </c>
      <c r="P891" s="1" t="s">
        <v>111</v>
      </c>
      <c r="R891" s="93">
        <v>43185</v>
      </c>
      <c r="S891" s="93" t="s">
        <v>2755</v>
      </c>
    </row>
    <row r="892" spans="1:19">
      <c r="A892" s="92">
        <v>43185</v>
      </c>
      <c r="C892" s="1" t="s">
        <v>66</v>
      </c>
      <c r="E892" s="98" t="s">
        <v>1403</v>
      </c>
      <c r="F892" s="1" t="s">
        <v>1404</v>
      </c>
      <c r="G892" s="1" t="s">
        <v>2569</v>
      </c>
      <c r="H892" s="1">
        <v>1</v>
      </c>
      <c r="I892" s="1" t="s">
        <v>1400</v>
      </c>
      <c r="J892" s="1">
        <v>1</v>
      </c>
      <c r="K892" s="1" t="s">
        <v>206</v>
      </c>
      <c r="L892" s="1" t="s">
        <v>70</v>
      </c>
      <c r="M892" s="1" t="s">
        <v>71</v>
      </c>
      <c r="N892" s="1" t="s">
        <v>72</v>
      </c>
      <c r="O892" s="1" t="s">
        <v>64</v>
      </c>
      <c r="P892" s="1" t="s">
        <v>73</v>
      </c>
      <c r="R892" s="93">
        <v>43185</v>
      </c>
      <c r="S892" s="93" t="s">
        <v>2755</v>
      </c>
    </row>
    <row r="893" spans="1:19">
      <c r="A893" s="92">
        <v>43185</v>
      </c>
      <c r="C893" s="1" t="s">
        <v>56</v>
      </c>
      <c r="E893" s="98" t="s">
        <v>1405</v>
      </c>
      <c r="F893" s="1" t="s">
        <v>1406</v>
      </c>
      <c r="G893" s="1" t="s">
        <v>2570</v>
      </c>
      <c r="H893" s="1">
        <v>1</v>
      </c>
      <c r="I893" s="1" t="s">
        <v>1400</v>
      </c>
      <c r="J893" s="1">
        <v>1</v>
      </c>
      <c r="K893" s="1" t="s">
        <v>277</v>
      </c>
      <c r="L893" s="1" t="s">
        <v>269</v>
      </c>
      <c r="M893" s="1" t="s">
        <v>132</v>
      </c>
      <c r="N893" s="1" t="s">
        <v>72</v>
      </c>
      <c r="O893" s="1" t="s">
        <v>64</v>
      </c>
      <c r="P893" s="1" t="s">
        <v>133</v>
      </c>
      <c r="R893" s="93">
        <v>43185</v>
      </c>
      <c r="S893" s="93" t="s">
        <v>2755</v>
      </c>
    </row>
    <row r="894" spans="1:19">
      <c r="A894" s="92">
        <v>43185</v>
      </c>
      <c r="C894" s="1" t="s">
        <v>66</v>
      </c>
      <c r="E894" s="98" t="s">
        <v>1407</v>
      </c>
      <c r="F894" s="1" t="s">
        <v>1408</v>
      </c>
      <c r="G894" s="1" t="s">
        <v>2571</v>
      </c>
      <c r="H894" s="1">
        <v>2</v>
      </c>
      <c r="I894" s="1" t="s">
        <v>1400</v>
      </c>
      <c r="J894" s="1">
        <v>2</v>
      </c>
      <c r="K894" s="1" t="s">
        <v>234</v>
      </c>
      <c r="L894" s="1" t="s">
        <v>131</v>
      </c>
      <c r="M894" s="1" t="s">
        <v>132</v>
      </c>
      <c r="N894" s="1" t="s">
        <v>72</v>
      </c>
      <c r="O894" s="1" t="s">
        <v>64</v>
      </c>
      <c r="P894" s="1" t="s">
        <v>133</v>
      </c>
      <c r="R894" s="93">
        <v>43185</v>
      </c>
      <c r="S894" s="93" t="s">
        <v>2755</v>
      </c>
    </row>
    <row r="895" spans="1:19">
      <c r="A895" s="92">
        <v>43185</v>
      </c>
      <c r="C895" s="1" t="s">
        <v>66</v>
      </c>
      <c r="E895" s="98" t="s">
        <v>115</v>
      </c>
      <c r="F895" s="1" t="s">
        <v>116</v>
      </c>
      <c r="G895" s="1" t="s">
        <v>2092</v>
      </c>
      <c r="H895" s="1">
        <v>2</v>
      </c>
      <c r="I895" s="1" t="s">
        <v>1400</v>
      </c>
      <c r="J895" s="1">
        <v>2</v>
      </c>
      <c r="K895" s="1" t="s">
        <v>116</v>
      </c>
      <c r="L895" s="1" t="s">
        <v>117</v>
      </c>
      <c r="M895" s="1" t="s">
        <v>2661</v>
      </c>
      <c r="N895" s="1" t="s">
        <v>72</v>
      </c>
      <c r="O895" s="1" t="s">
        <v>64</v>
      </c>
      <c r="P895" s="1" t="s">
        <v>53</v>
      </c>
      <c r="R895" s="93">
        <v>43185</v>
      </c>
      <c r="S895" s="93" t="s">
        <v>2755</v>
      </c>
    </row>
    <row r="896" spans="1:19">
      <c r="A896" s="92">
        <v>43185</v>
      </c>
      <c r="C896" s="1" t="s">
        <v>56</v>
      </c>
      <c r="E896" s="98" t="s">
        <v>541</v>
      </c>
      <c r="F896" s="1" t="s">
        <v>542</v>
      </c>
      <c r="G896" s="1" t="s">
        <v>2079</v>
      </c>
      <c r="H896" s="1">
        <v>2</v>
      </c>
      <c r="I896" s="1" t="s">
        <v>1400</v>
      </c>
      <c r="J896" s="1">
        <v>2</v>
      </c>
      <c r="K896" s="1" t="s">
        <v>172</v>
      </c>
      <c r="L896" s="1" t="s">
        <v>131</v>
      </c>
      <c r="M896" s="1" t="s">
        <v>132</v>
      </c>
      <c r="N896" s="1" t="s">
        <v>72</v>
      </c>
      <c r="O896" s="1" t="s">
        <v>64</v>
      </c>
      <c r="P896" s="1" t="s">
        <v>133</v>
      </c>
      <c r="R896" s="93">
        <v>43185</v>
      </c>
      <c r="S896" s="93" t="s">
        <v>2755</v>
      </c>
    </row>
    <row r="897" spans="1:19">
      <c r="A897" s="92">
        <v>43185</v>
      </c>
      <c r="C897" s="1" t="s">
        <v>66</v>
      </c>
      <c r="E897" s="98" t="s">
        <v>1411</v>
      </c>
      <c r="F897" s="1" t="s">
        <v>1412</v>
      </c>
      <c r="G897" s="1" t="s">
        <v>2572</v>
      </c>
      <c r="H897" s="1">
        <v>5</v>
      </c>
      <c r="I897" s="1" t="s">
        <v>1400</v>
      </c>
      <c r="J897" s="1">
        <v>5</v>
      </c>
      <c r="K897" s="1" t="s">
        <v>69</v>
      </c>
      <c r="L897" s="1" t="s">
        <v>70</v>
      </c>
      <c r="M897" s="1" t="s">
        <v>71</v>
      </c>
      <c r="N897" s="1" t="s">
        <v>72</v>
      </c>
      <c r="O897" s="1" t="s">
        <v>64</v>
      </c>
      <c r="P897" s="1" t="s">
        <v>73</v>
      </c>
      <c r="R897" s="93">
        <v>43185</v>
      </c>
      <c r="S897" s="93" t="s">
        <v>2755</v>
      </c>
    </row>
    <row r="898" spans="1:19">
      <c r="A898" s="92">
        <v>43185</v>
      </c>
      <c r="C898" s="1" t="s">
        <v>56</v>
      </c>
      <c r="E898" s="98" t="s">
        <v>1415</v>
      </c>
      <c r="F898" s="1" t="s">
        <v>1416</v>
      </c>
      <c r="G898" s="1" t="s">
        <v>2573</v>
      </c>
      <c r="H898" s="1">
        <v>5.65</v>
      </c>
      <c r="I898" s="1" t="s">
        <v>1400</v>
      </c>
      <c r="J898" s="1">
        <v>5.65</v>
      </c>
      <c r="K898" s="1" t="s">
        <v>175</v>
      </c>
      <c r="L898" s="1" t="s">
        <v>131</v>
      </c>
      <c r="M898" s="1" t="s">
        <v>132</v>
      </c>
      <c r="N898" s="1" t="s">
        <v>72</v>
      </c>
      <c r="O898" s="1" t="s">
        <v>64</v>
      </c>
      <c r="P898" s="1" t="s">
        <v>133</v>
      </c>
      <c r="R898" s="93">
        <v>43185</v>
      </c>
      <c r="S898" s="93" t="s">
        <v>2755</v>
      </c>
    </row>
    <row r="899" spans="1:19">
      <c r="A899" s="92">
        <v>43185</v>
      </c>
      <c r="C899" s="1" t="s">
        <v>56</v>
      </c>
      <c r="E899" s="98" t="s">
        <v>1417</v>
      </c>
      <c r="F899" s="1" t="s">
        <v>1418</v>
      </c>
      <c r="G899" s="1" t="s">
        <v>2574</v>
      </c>
      <c r="H899" s="1">
        <v>5.65</v>
      </c>
      <c r="I899" s="1" t="s">
        <v>1400</v>
      </c>
      <c r="J899" s="1">
        <v>5.65</v>
      </c>
      <c r="K899" s="1" t="s">
        <v>443</v>
      </c>
      <c r="L899" s="1" t="s">
        <v>269</v>
      </c>
      <c r="M899" s="1" t="s">
        <v>132</v>
      </c>
      <c r="N899" s="1" t="s">
        <v>72</v>
      </c>
      <c r="O899" s="1" t="s">
        <v>64</v>
      </c>
      <c r="P899" s="1" t="s">
        <v>133</v>
      </c>
      <c r="R899" s="93">
        <v>43185</v>
      </c>
      <c r="S899" s="93" t="s">
        <v>2755</v>
      </c>
    </row>
    <row r="900" spans="1:19">
      <c r="A900" s="92">
        <v>43185</v>
      </c>
      <c r="C900" s="1" t="s">
        <v>56</v>
      </c>
      <c r="E900" s="98" t="s">
        <v>1419</v>
      </c>
      <c r="F900" s="1" t="s">
        <v>1420</v>
      </c>
      <c r="G900" s="1" t="s">
        <v>2575</v>
      </c>
      <c r="H900" s="1">
        <v>11.3</v>
      </c>
      <c r="I900" s="1" t="s">
        <v>1400</v>
      </c>
      <c r="J900" s="1">
        <v>11.3</v>
      </c>
      <c r="K900" s="1" t="s">
        <v>136</v>
      </c>
      <c r="L900" s="1" t="s">
        <v>85</v>
      </c>
      <c r="M900" s="1" t="s">
        <v>71</v>
      </c>
      <c r="N900" s="1" t="s">
        <v>72</v>
      </c>
      <c r="O900" s="1" t="s">
        <v>64</v>
      </c>
      <c r="P900" s="1" t="s">
        <v>73</v>
      </c>
      <c r="R900" s="93">
        <v>43185</v>
      </c>
      <c r="S900" s="93" t="s">
        <v>2755</v>
      </c>
    </row>
    <row r="901" spans="1:19">
      <c r="A901" s="92">
        <v>43185</v>
      </c>
      <c r="C901" s="1" t="s">
        <v>56</v>
      </c>
      <c r="E901" s="98" t="s">
        <v>1421</v>
      </c>
      <c r="F901" s="1" t="s">
        <v>1422</v>
      </c>
      <c r="G901" s="1" t="s">
        <v>2576</v>
      </c>
      <c r="H901" s="1">
        <v>5.0138350000000003</v>
      </c>
      <c r="I901" s="1" t="s">
        <v>1400</v>
      </c>
      <c r="J901" s="1">
        <v>5.0138350000000003</v>
      </c>
      <c r="K901" s="1" t="s">
        <v>136</v>
      </c>
      <c r="L901" s="1" t="s">
        <v>85</v>
      </c>
      <c r="M901" s="1" t="s">
        <v>71</v>
      </c>
      <c r="N901" s="1" t="s">
        <v>72</v>
      </c>
      <c r="O901" s="1" t="s">
        <v>64</v>
      </c>
      <c r="P901" s="1" t="s">
        <v>73</v>
      </c>
      <c r="R901" s="93">
        <v>43185</v>
      </c>
      <c r="S901" s="93" t="s">
        <v>2755</v>
      </c>
    </row>
    <row r="902" spans="1:19">
      <c r="A902" s="92">
        <v>43185</v>
      </c>
      <c r="C902" s="1" t="s">
        <v>66</v>
      </c>
      <c r="E902" s="98" t="s">
        <v>842</v>
      </c>
      <c r="F902" s="1" t="s">
        <v>843</v>
      </c>
      <c r="G902" s="1" t="s">
        <v>2352</v>
      </c>
      <c r="H902" s="1">
        <v>1</v>
      </c>
      <c r="I902" s="1" t="s">
        <v>1400</v>
      </c>
      <c r="J902" s="1">
        <v>1</v>
      </c>
      <c r="K902" s="1" t="s">
        <v>496</v>
      </c>
      <c r="L902" s="1" t="s">
        <v>117</v>
      </c>
      <c r="M902" s="1" t="s">
        <v>2661</v>
      </c>
      <c r="N902" s="1" t="s">
        <v>72</v>
      </c>
      <c r="O902" s="1" t="s">
        <v>64</v>
      </c>
      <c r="P902" s="1" t="s">
        <v>53</v>
      </c>
      <c r="R902" s="93">
        <v>43185</v>
      </c>
      <c r="S902" s="93" t="s">
        <v>2755</v>
      </c>
    </row>
    <row r="903" spans="1:19">
      <c r="A903" s="92">
        <v>43185</v>
      </c>
      <c r="C903" s="1" t="s">
        <v>56</v>
      </c>
      <c r="E903" s="98" t="s">
        <v>1390</v>
      </c>
      <c r="F903" s="1" t="s">
        <v>1391</v>
      </c>
      <c r="G903" s="1" t="s">
        <v>2564</v>
      </c>
      <c r="H903" s="1">
        <v>5</v>
      </c>
      <c r="I903" s="1" t="s">
        <v>1400</v>
      </c>
      <c r="J903" s="1">
        <v>5</v>
      </c>
      <c r="K903" s="1" t="s">
        <v>70</v>
      </c>
      <c r="L903" s="1" t="s">
        <v>70</v>
      </c>
      <c r="M903" s="1" t="s">
        <v>71</v>
      </c>
      <c r="N903" s="1" t="s">
        <v>72</v>
      </c>
      <c r="O903" s="1" t="s">
        <v>64</v>
      </c>
      <c r="P903" s="1" t="s">
        <v>73</v>
      </c>
      <c r="R903" s="93">
        <v>43185</v>
      </c>
      <c r="S903" s="93" t="s">
        <v>2755</v>
      </c>
    </row>
    <row r="904" spans="1:19">
      <c r="A904" s="92">
        <v>43185</v>
      </c>
      <c r="C904" s="1" t="s">
        <v>56</v>
      </c>
      <c r="E904" s="98" t="s">
        <v>1361</v>
      </c>
      <c r="F904" s="1" t="s">
        <v>1362</v>
      </c>
      <c r="G904" s="1" t="s">
        <v>2553</v>
      </c>
      <c r="H904" s="1">
        <v>0.13</v>
      </c>
      <c r="I904" s="1" t="s">
        <v>1400</v>
      </c>
      <c r="J904" s="1">
        <v>0.13</v>
      </c>
      <c r="K904" s="1" t="s">
        <v>461</v>
      </c>
      <c r="L904" s="1" t="s">
        <v>85</v>
      </c>
      <c r="M904" s="1" t="s">
        <v>71</v>
      </c>
      <c r="N904" s="1" t="s">
        <v>72</v>
      </c>
      <c r="O904" s="1" t="s">
        <v>64</v>
      </c>
      <c r="P904" s="1" t="s">
        <v>73</v>
      </c>
      <c r="R904" s="93">
        <v>43185</v>
      </c>
      <c r="S904" s="93" t="s">
        <v>2755</v>
      </c>
    </row>
    <row r="905" spans="1:19">
      <c r="A905" s="92">
        <v>43185</v>
      </c>
      <c r="C905" s="1" t="s">
        <v>56</v>
      </c>
      <c r="E905" s="98" t="s">
        <v>571</v>
      </c>
      <c r="F905" s="1" t="s">
        <v>572</v>
      </c>
      <c r="G905" s="1" t="s">
        <v>2248</v>
      </c>
      <c r="H905" s="1">
        <v>1</v>
      </c>
      <c r="I905" s="1" t="s">
        <v>1400</v>
      </c>
      <c r="J905" s="1">
        <v>1</v>
      </c>
      <c r="K905" s="1" t="s">
        <v>124</v>
      </c>
      <c r="L905" s="1" t="s">
        <v>117</v>
      </c>
      <c r="M905" s="1" t="s">
        <v>2661</v>
      </c>
      <c r="N905" s="1" t="s">
        <v>72</v>
      </c>
      <c r="O905" s="1" t="s">
        <v>64</v>
      </c>
      <c r="P905" s="1" t="s">
        <v>53</v>
      </c>
      <c r="R905" s="93">
        <v>43185</v>
      </c>
      <c r="S905" s="93" t="s">
        <v>2755</v>
      </c>
    </row>
    <row r="906" spans="1:19">
      <c r="A906" s="92">
        <v>43185</v>
      </c>
      <c r="C906" s="1" t="s">
        <v>66</v>
      </c>
      <c r="E906" s="98" t="s">
        <v>1425</v>
      </c>
      <c r="F906" s="1" t="s">
        <v>1426</v>
      </c>
      <c r="G906" s="1" t="s">
        <v>2577</v>
      </c>
      <c r="H906" s="1">
        <v>0.3</v>
      </c>
      <c r="I906" s="1" t="s">
        <v>1400</v>
      </c>
      <c r="J906" s="1">
        <v>0.3</v>
      </c>
      <c r="K906" s="1" t="s">
        <v>84</v>
      </c>
      <c r="L906" s="1" t="s">
        <v>85</v>
      </c>
      <c r="M906" s="1" t="s">
        <v>71</v>
      </c>
      <c r="N906" s="1" t="s">
        <v>72</v>
      </c>
      <c r="O906" s="1" t="s">
        <v>64</v>
      </c>
      <c r="P906" s="1" t="s">
        <v>73</v>
      </c>
      <c r="R906" s="93">
        <v>43185</v>
      </c>
      <c r="S906" s="93" t="s">
        <v>2755</v>
      </c>
    </row>
    <row r="907" spans="1:19">
      <c r="A907" s="92">
        <v>43186</v>
      </c>
      <c r="C907" s="1" t="s">
        <v>66</v>
      </c>
      <c r="E907" s="98" t="s">
        <v>272</v>
      </c>
      <c r="F907" s="1" t="s">
        <v>273</v>
      </c>
      <c r="G907" s="1" t="s">
        <v>2135</v>
      </c>
      <c r="H907" s="1">
        <v>15</v>
      </c>
      <c r="I907" s="1" t="s">
        <v>1428</v>
      </c>
      <c r="J907" s="1">
        <v>15</v>
      </c>
      <c r="K907" s="1" t="s">
        <v>274</v>
      </c>
      <c r="L907" s="1" t="s">
        <v>216</v>
      </c>
      <c r="M907" s="1" t="s">
        <v>52</v>
      </c>
      <c r="N907" s="1" t="s">
        <v>63</v>
      </c>
      <c r="O907" s="1" t="s">
        <v>64</v>
      </c>
      <c r="P907" s="1" t="s">
        <v>111</v>
      </c>
      <c r="R907" s="93">
        <v>43186</v>
      </c>
      <c r="S907" s="93" t="s">
        <v>2757</v>
      </c>
    </row>
    <row r="908" spans="1:19">
      <c r="A908" s="92">
        <v>43186</v>
      </c>
      <c r="C908" s="1" t="s">
        <v>56</v>
      </c>
      <c r="E908" s="98" t="s">
        <v>1429</v>
      </c>
      <c r="F908" s="1" t="s">
        <v>1430</v>
      </c>
      <c r="G908" s="1" t="s">
        <v>2578</v>
      </c>
      <c r="H908" s="1">
        <v>6.23</v>
      </c>
      <c r="I908" s="1" t="s">
        <v>1428</v>
      </c>
      <c r="J908" s="1">
        <v>6.23</v>
      </c>
      <c r="K908" s="1" t="s">
        <v>496</v>
      </c>
      <c r="L908" s="1" t="s">
        <v>117</v>
      </c>
      <c r="M908" s="1" t="s">
        <v>2661</v>
      </c>
      <c r="N908" s="1" t="s">
        <v>72</v>
      </c>
      <c r="O908" s="1" t="s">
        <v>64</v>
      </c>
      <c r="P908" s="1" t="s">
        <v>53</v>
      </c>
      <c r="R908" s="93">
        <v>43186</v>
      </c>
      <c r="S908" s="93" t="s">
        <v>2757</v>
      </c>
    </row>
    <row r="909" spans="1:19">
      <c r="A909" s="92">
        <v>43186</v>
      </c>
      <c r="C909" s="1" t="s">
        <v>66</v>
      </c>
      <c r="E909" s="98" t="s">
        <v>868</v>
      </c>
      <c r="F909" s="1" t="s">
        <v>869</v>
      </c>
      <c r="G909" s="1" t="s">
        <v>2363</v>
      </c>
      <c r="H909" s="1">
        <v>5</v>
      </c>
      <c r="I909" s="1" t="s">
        <v>1428</v>
      </c>
      <c r="J909" s="1">
        <v>5</v>
      </c>
      <c r="K909" s="1" t="s">
        <v>155</v>
      </c>
      <c r="L909" s="1" t="s">
        <v>70</v>
      </c>
      <c r="M909" s="1" t="s">
        <v>71</v>
      </c>
      <c r="N909" s="1" t="s">
        <v>72</v>
      </c>
      <c r="O909" s="1" t="s">
        <v>64</v>
      </c>
      <c r="P909" s="1" t="s">
        <v>73</v>
      </c>
      <c r="R909" s="93">
        <v>43186</v>
      </c>
      <c r="S909" s="93" t="s">
        <v>2757</v>
      </c>
    </row>
    <row r="910" spans="1:19">
      <c r="A910" s="92">
        <v>43186</v>
      </c>
      <c r="C910" s="1" t="s">
        <v>66</v>
      </c>
      <c r="E910" s="98" t="s">
        <v>868</v>
      </c>
      <c r="F910" s="1" t="s">
        <v>869</v>
      </c>
      <c r="G910" s="1" t="s">
        <v>2363</v>
      </c>
      <c r="H910" s="1">
        <v>6</v>
      </c>
      <c r="I910" s="1" t="s">
        <v>1428</v>
      </c>
      <c r="J910" s="1">
        <v>6</v>
      </c>
      <c r="K910" s="1" t="s">
        <v>155</v>
      </c>
      <c r="L910" s="1" t="s">
        <v>70</v>
      </c>
      <c r="M910" s="1" t="s">
        <v>71</v>
      </c>
      <c r="N910" s="1" t="s">
        <v>72</v>
      </c>
      <c r="O910" s="1" t="s">
        <v>64</v>
      </c>
      <c r="P910" s="1" t="s">
        <v>73</v>
      </c>
      <c r="R910" s="93">
        <v>43186</v>
      </c>
      <c r="S910" s="93" t="s">
        <v>2757</v>
      </c>
    </row>
    <row r="911" spans="1:19">
      <c r="A911" s="92">
        <v>43186</v>
      </c>
      <c r="C911" s="1" t="s">
        <v>56</v>
      </c>
      <c r="E911" s="98" t="s">
        <v>693</v>
      </c>
      <c r="F911" s="1" t="s">
        <v>694</v>
      </c>
      <c r="G911" s="1" t="s">
        <v>2295</v>
      </c>
      <c r="H911" s="1">
        <v>5</v>
      </c>
      <c r="I911" s="1" t="s">
        <v>1428</v>
      </c>
      <c r="J911" s="1">
        <v>5</v>
      </c>
      <c r="K911" s="1" t="s">
        <v>656</v>
      </c>
      <c r="L911" s="1" t="s">
        <v>105</v>
      </c>
      <c r="M911" s="1" t="s">
        <v>62</v>
      </c>
      <c r="N911" s="1" t="s">
        <v>63</v>
      </c>
      <c r="O911" s="1" t="s">
        <v>64</v>
      </c>
      <c r="P911" s="1" t="s">
        <v>65</v>
      </c>
      <c r="R911" s="93">
        <v>43186</v>
      </c>
      <c r="S911" s="93" t="s">
        <v>2757</v>
      </c>
    </row>
    <row r="912" spans="1:19">
      <c r="A912" s="92">
        <v>43186</v>
      </c>
      <c r="C912" s="1" t="s">
        <v>56</v>
      </c>
      <c r="E912" s="98" t="s">
        <v>1059</v>
      </c>
      <c r="F912" s="1" t="s">
        <v>1060</v>
      </c>
      <c r="G912" s="1" t="s">
        <v>2437</v>
      </c>
      <c r="H912" s="1">
        <v>2.4</v>
      </c>
      <c r="I912" s="1" t="s">
        <v>1428</v>
      </c>
      <c r="J912" s="1">
        <v>2.4</v>
      </c>
      <c r="K912" s="1" t="s">
        <v>312</v>
      </c>
      <c r="L912" s="1" t="s">
        <v>117</v>
      </c>
      <c r="M912" s="1" t="s">
        <v>2661</v>
      </c>
      <c r="N912" s="1" t="s">
        <v>72</v>
      </c>
      <c r="O912" s="1" t="s">
        <v>64</v>
      </c>
      <c r="P912" s="1" t="s">
        <v>53</v>
      </c>
      <c r="R912" s="93">
        <v>43186</v>
      </c>
      <c r="S912" s="93" t="s">
        <v>2757</v>
      </c>
    </row>
    <row r="913" spans="1:19">
      <c r="A913" s="92">
        <v>43186</v>
      </c>
      <c r="C913" s="1" t="s">
        <v>56</v>
      </c>
      <c r="E913" s="98" t="s">
        <v>764</v>
      </c>
      <c r="F913" s="1" t="s">
        <v>765</v>
      </c>
      <c r="G913" s="1" t="s">
        <v>2325</v>
      </c>
      <c r="H913" s="1">
        <v>1</v>
      </c>
      <c r="I913" s="1" t="s">
        <v>1428</v>
      </c>
      <c r="J913" s="1">
        <v>1</v>
      </c>
      <c r="K913" s="1" t="s">
        <v>144</v>
      </c>
      <c r="L913" s="1" t="s">
        <v>93</v>
      </c>
      <c r="M913" s="1" t="s">
        <v>94</v>
      </c>
      <c r="N913" s="1" t="s">
        <v>72</v>
      </c>
      <c r="O913" s="1" t="s">
        <v>64</v>
      </c>
      <c r="P913" s="1" t="s">
        <v>95</v>
      </c>
      <c r="R913" s="93">
        <v>43186</v>
      </c>
      <c r="S913" s="93" t="s">
        <v>2757</v>
      </c>
    </row>
    <row r="914" spans="1:19">
      <c r="A914" s="92">
        <v>43186</v>
      </c>
      <c r="C914" s="1" t="s">
        <v>56</v>
      </c>
      <c r="E914" s="98" t="s">
        <v>1176</v>
      </c>
      <c r="F914" s="1" t="s">
        <v>1177</v>
      </c>
      <c r="G914" s="1" t="s">
        <v>2482</v>
      </c>
      <c r="H914" s="1">
        <v>5</v>
      </c>
      <c r="I914" s="1" t="s">
        <v>1428</v>
      </c>
      <c r="J914" s="1">
        <v>5</v>
      </c>
      <c r="K914" s="1" t="s">
        <v>277</v>
      </c>
      <c r="L914" s="1" t="s">
        <v>269</v>
      </c>
      <c r="M914" s="1" t="s">
        <v>132</v>
      </c>
      <c r="N914" s="1" t="s">
        <v>72</v>
      </c>
      <c r="O914" s="1" t="s">
        <v>64</v>
      </c>
      <c r="P914" s="1" t="s">
        <v>133</v>
      </c>
      <c r="R914" s="93">
        <v>43186</v>
      </c>
      <c r="S914" s="93" t="s">
        <v>2757</v>
      </c>
    </row>
    <row r="915" spans="1:19">
      <c r="A915" s="92">
        <v>43186</v>
      </c>
      <c r="C915" s="1" t="s">
        <v>66</v>
      </c>
      <c r="E915" s="98" t="s">
        <v>1431</v>
      </c>
      <c r="F915" s="1" t="s">
        <v>1432</v>
      </c>
      <c r="G915" s="1" t="s">
        <v>2579</v>
      </c>
      <c r="H915" s="1">
        <v>5</v>
      </c>
      <c r="I915" s="1" t="s">
        <v>1428</v>
      </c>
      <c r="J915" s="1">
        <v>5</v>
      </c>
      <c r="K915" s="1" t="s">
        <v>234</v>
      </c>
      <c r="L915" s="1" t="s">
        <v>131</v>
      </c>
      <c r="M915" s="1" t="s">
        <v>132</v>
      </c>
      <c r="N915" s="1" t="s">
        <v>72</v>
      </c>
      <c r="O915" s="1" t="s">
        <v>64</v>
      </c>
      <c r="P915" s="1" t="s">
        <v>133</v>
      </c>
      <c r="R915" s="93">
        <v>43186</v>
      </c>
      <c r="S915" s="93" t="s">
        <v>2757</v>
      </c>
    </row>
    <row r="916" spans="1:19">
      <c r="A916" s="92">
        <v>43186</v>
      </c>
      <c r="C916" s="1" t="s">
        <v>56</v>
      </c>
      <c r="E916" s="98" t="s">
        <v>1433</v>
      </c>
      <c r="F916" s="1" t="s">
        <v>1434</v>
      </c>
      <c r="G916" s="1" t="s">
        <v>2580</v>
      </c>
      <c r="H916" s="1">
        <v>5</v>
      </c>
      <c r="I916" s="1" t="s">
        <v>1428</v>
      </c>
      <c r="J916" s="1">
        <v>5</v>
      </c>
      <c r="K916" s="1" t="s">
        <v>84</v>
      </c>
      <c r="L916" s="1" t="s">
        <v>85</v>
      </c>
      <c r="M916" s="1" t="s">
        <v>71</v>
      </c>
      <c r="N916" s="1" t="s">
        <v>72</v>
      </c>
      <c r="O916" s="1" t="s">
        <v>64</v>
      </c>
      <c r="P916" s="1" t="s">
        <v>73</v>
      </c>
      <c r="R916" s="93">
        <v>43186</v>
      </c>
      <c r="S916" s="93" t="s">
        <v>2757</v>
      </c>
    </row>
    <row r="917" spans="1:19">
      <c r="A917" s="92">
        <v>43187</v>
      </c>
      <c r="C917" s="1" t="s">
        <v>56</v>
      </c>
      <c r="E917" s="98" t="s">
        <v>1435</v>
      </c>
      <c r="F917" s="1" t="s">
        <v>1436</v>
      </c>
      <c r="G917" s="1" t="s">
        <v>2581</v>
      </c>
      <c r="H917" s="1">
        <v>1.1065209999999999</v>
      </c>
      <c r="I917" s="1" t="s">
        <v>1428</v>
      </c>
      <c r="J917" s="1">
        <v>1.1065209999999999</v>
      </c>
      <c r="K917" s="1" t="s">
        <v>105</v>
      </c>
      <c r="L917" s="1" t="s">
        <v>105</v>
      </c>
      <c r="M917" s="1" t="s">
        <v>62</v>
      </c>
      <c r="N917" s="1" t="s">
        <v>63</v>
      </c>
      <c r="O917" s="1" t="s">
        <v>64</v>
      </c>
      <c r="P917" s="1" t="s">
        <v>65</v>
      </c>
      <c r="R917" s="93">
        <v>43187</v>
      </c>
      <c r="S917" s="93" t="s">
        <v>2757</v>
      </c>
    </row>
    <row r="918" spans="1:19">
      <c r="A918" s="92">
        <v>43187</v>
      </c>
      <c r="C918" s="1" t="s">
        <v>56</v>
      </c>
      <c r="E918" s="98" t="s">
        <v>1437</v>
      </c>
      <c r="F918" s="1" t="s">
        <v>1438</v>
      </c>
      <c r="G918" s="1" t="s">
        <v>2582</v>
      </c>
      <c r="H918" s="1">
        <v>11.065205000000001</v>
      </c>
      <c r="I918" s="1" t="s">
        <v>1428</v>
      </c>
      <c r="J918" s="1">
        <v>11.065205000000001</v>
      </c>
      <c r="K918" s="1" t="s">
        <v>105</v>
      </c>
      <c r="L918" s="1" t="s">
        <v>105</v>
      </c>
      <c r="M918" s="1" t="s">
        <v>62</v>
      </c>
      <c r="N918" s="1" t="s">
        <v>63</v>
      </c>
      <c r="O918" s="1" t="s">
        <v>64</v>
      </c>
      <c r="P918" s="1" t="s">
        <v>65</v>
      </c>
      <c r="R918" s="93">
        <v>43187</v>
      </c>
      <c r="S918" s="93" t="s">
        <v>2757</v>
      </c>
    </row>
    <row r="919" spans="1:19">
      <c r="A919" s="92">
        <v>43187</v>
      </c>
      <c r="C919" s="1" t="s">
        <v>56</v>
      </c>
      <c r="E919" s="98" t="s">
        <v>1437</v>
      </c>
      <c r="F919" s="1" t="s">
        <v>1438</v>
      </c>
      <c r="G919" s="1" t="s">
        <v>2582</v>
      </c>
      <c r="H919" s="1">
        <v>3.3195999999999996E-2</v>
      </c>
      <c r="I919" s="1" t="s">
        <v>1428</v>
      </c>
      <c r="J919" s="1">
        <v>3.3195999999999996E-2</v>
      </c>
      <c r="K919" s="1" t="s">
        <v>105</v>
      </c>
      <c r="L919" s="1" t="s">
        <v>105</v>
      </c>
      <c r="M919" s="1" t="s">
        <v>62</v>
      </c>
      <c r="N919" s="1" t="s">
        <v>63</v>
      </c>
      <c r="O919" s="1" t="s">
        <v>64</v>
      </c>
      <c r="P919" s="1" t="s">
        <v>65</v>
      </c>
      <c r="R919" s="93">
        <v>43187</v>
      </c>
      <c r="S919" s="93" t="s">
        <v>2757</v>
      </c>
    </row>
    <row r="920" spans="1:19">
      <c r="A920" s="92">
        <v>43187</v>
      </c>
      <c r="C920" s="1" t="s">
        <v>56</v>
      </c>
      <c r="E920" s="98" t="s">
        <v>1439</v>
      </c>
      <c r="F920" s="1" t="s">
        <v>89</v>
      </c>
      <c r="G920" s="1" t="s">
        <v>2583</v>
      </c>
      <c r="H920" s="1">
        <v>5.5326029999999999</v>
      </c>
      <c r="I920" s="1" t="s">
        <v>1428</v>
      </c>
      <c r="J920" s="1">
        <v>5.5326029999999999</v>
      </c>
      <c r="K920" s="1" t="s">
        <v>89</v>
      </c>
      <c r="L920" s="1" t="s">
        <v>70</v>
      </c>
      <c r="M920" s="1" t="s">
        <v>71</v>
      </c>
      <c r="N920" s="1" t="s">
        <v>72</v>
      </c>
      <c r="O920" s="1" t="s">
        <v>64</v>
      </c>
      <c r="P920" s="1" t="s">
        <v>73</v>
      </c>
      <c r="R920" s="93">
        <v>43187</v>
      </c>
      <c r="S920" s="93" t="s">
        <v>2757</v>
      </c>
    </row>
    <row r="921" spans="1:19">
      <c r="A921" s="92">
        <v>43187</v>
      </c>
      <c r="C921" s="1" t="s">
        <v>56</v>
      </c>
      <c r="E921" s="98" t="s">
        <v>1072</v>
      </c>
      <c r="F921" s="1" t="s">
        <v>1073</v>
      </c>
      <c r="G921" s="1" t="s">
        <v>2442</v>
      </c>
      <c r="H921" s="1">
        <v>2</v>
      </c>
      <c r="I921" s="1" t="s">
        <v>1428</v>
      </c>
      <c r="J921" s="1">
        <v>2</v>
      </c>
      <c r="K921" s="1" t="s">
        <v>353</v>
      </c>
      <c r="L921" s="1" t="s">
        <v>281</v>
      </c>
      <c r="M921" s="1" t="s">
        <v>71</v>
      </c>
      <c r="N921" s="1" t="s">
        <v>72</v>
      </c>
      <c r="O921" s="1" t="s">
        <v>64</v>
      </c>
      <c r="P921" s="1" t="s">
        <v>73</v>
      </c>
      <c r="R921" s="93">
        <v>43187</v>
      </c>
      <c r="S921" s="93" t="s">
        <v>2757</v>
      </c>
    </row>
    <row r="922" spans="1:19">
      <c r="A922" s="92">
        <v>43187</v>
      </c>
      <c r="C922" s="1" t="s">
        <v>56</v>
      </c>
      <c r="E922" s="98" t="s">
        <v>1440</v>
      </c>
      <c r="F922" s="1" t="s">
        <v>1441</v>
      </c>
      <c r="G922" s="1" t="s">
        <v>2584</v>
      </c>
      <c r="H922" s="1">
        <v>1</v>
      </c>
      <c r="I922" s="1" t="s">
        <v>1428</v>
      </c>
      <c r="J922" s="1">
        <v>1</v>
      </c>
      <c r="K922" s="1" t="s">
        <v>277</v>
      </c>
      <c r="L922" s="1" t="s">
        <v>269</v>
      </c>
      <c r="M922" s="1" t="s">
        <v>132</v>
      </c>
      <c r="N922" s="1" t="s">
        <v>72</v>
      </c>
      <c r="O922" s="1" t="s">
        <v>64</v>
      </c>
      <c r="P922" s="1" t="s">
        <v>133</v>
      </c>
      <c r="R922" s="93">
        <v>43187</v>
      </c>
      <c r="S922" s="93" t="s">
        <v>2757</v>
      </c>
    </row>
    <row r="923" spans="1:19">
      <c r="A923" s="92">
        <v>43187</v>
      </c>
      <c r="C923" s="1" t="s">
        <v>56</v>
      </c>
      <c r="E923" s="98" t="s">
        <v>1442</v>
      </c>
      <c r="F923" s="1" t="s">
        <v>1443</v>
      </c>
      <c r="G923" s="1" t="s">
        <v>2585</v>
      </c>
      <c r="H923" s="1">
        <v>20</v>
      </c>
      <c r="I923" s="1" t="s">
        <v>1428</v>
      </c>
      <c r="J923" s="1">
        <v>20</v>
      </c>
      <c r="K923" s="1" t="s">
        <v>291</v>
      </c>
      <c r="L923" s="1" t="s">
        <v>85</v>
      </c>
      <c r="M923" s="1" t="s">
        <v>71</v>
      </c>
      <c r="N923" s="1" t="s">
        <v>72</v>
      </c>
      <c r="O923" s="1" t="s">
        <v>64</v>
      </c>
      <c r="P923" s="1" t="s">
        <v>73</v>
      </c>
      <c r="R923" s="93">
        <v>43187</v>
      </c>
      <c r="S923" s="93" t="s">
        <v>2757</v>
      </c>
    </row>
    <row r="924" spans="1:19">
      <c r="A924" s="92">
        <v>43187</v>
      </c>
      <c r="C924" s="1" t="s">
        <v>56</v>
      </c>
      <c r="E924" s="98" t="s">
        <v>1444</v>
      </c>
      <c r="F924" s="1" t="s">
        <v>1445</v>
      </c>
      <c r="G924" s="1" t="s">
        <v>2586</v>
      </c>
      <c r="H924" s="1">
        <v>20</v>
      </c>
      <c r="I924" s="1" t="s">
        <v>1428</v>
      </c>
      <c r="J924" s="1">
        <v>20</v>
      </c>
      <c r="K924" s="1" t="s">
        <v>353</v>
      </c>
      <c r="L924" s="1" t="s">
        <v>281</v>
      </c>
      <c r="M924" s="1" t="s">
        <v>71</v>
      </c>
      <c r="N924" s="1" t="s">
        <v>72</v>
      </c>
      <c r="O924" s="1" t="s">
        <v>64</v>
      </c>
      <c r="P924" s="1" t="s">
        <v>73</v>
      </c>
      <c r="R924" s="93">
        <v>43187</v>
      </c>
      <c r="S924" s="93" t="s">
        <v>2757</v>
      </c>
    </row>
    <row r="925" spans="1:19">
      <c r="A925" s="92">
        <v>43187</v>
      </c>
      <c r="C925" s="1" t="s">
        <v>66</v>
      </c>
      <c r="E925" s="98" t="s">
        <v>1446</v>
      </c>
      <c r="F925" s="1" t="s">
        <v>1447</v>
      </c>
      <c r="G925" s="1" t="s">
        <v>2587</v>
      </c>
      <c r="H925" s="1">
        <v>5</v>
      </c>
      <c r="I925" s="1" t="s">
        <v>1428</v>
      </c>
      <c r="J925" s="1">
        <v>5</v>
      </c>
      <c r="K925" s="1" t="s">
        <v>601</v>
      </c>
      <c r="L925" s="1" t="s">
        <v>93</v>
      </c>
      <c r="M925" s="1" t="s">
        <v>94</v>
      </c>
      <c r="N925" s="1" t="s">
        <v>72</v>
      </c>
      <c r="O925" s="1" t="s">
        <v>64</v>
      </c>
      <c r="P925" s="1" t="s">
        <v>95</v>
      </c>
      <c r="R925" s="93">
        <v>43187</v>
      </c>
      <c r="S925" s="93" t="s">
        <v>2757</v>
      </c>
    </row>
    <row r="926" spans="1:19">
      <c r="A926" s="92">
        <v>43187</v>
      </c>
      <c r="C926" s="1" t="s">
        <v>66</v>
      </c>
      <c r="E926" s="98" t="s">
        <v>1446</v>
      </c>
      <c r="F926" s="1" t="s">
        <v>1447</v>
      </c>
      <c r="G926" s="1" t="s">
        <v>2587</v>
      </c>
      <c r="H926" s="1">
        <v>0.5</v>
      </c>
      <c r="I926" s="1" t="s">
        <v>1428</v>
      </c>
      <c r="J926" s="1">
        <v>0.5</v>
      </c>
      <c r="K926" s="1" t="s">
        <v>601</v>
      </c>
      <c r="L926" s="1" t="s">
        <v>93</v>
      </c>
      <c r="M926" s="1" t="s">
        <v>94</v>
      </c>
      <c r="N926" s="1" t="s">
        <v>72</v>
      </c>
      <c r="O926" s="1" t="s">
        <v>64</v>
      </c>
      <c r="P926" s="1" t="s">
        <v>95</v>
      </c>
      <c r="R926" s="93">
        <v>43187</v>
      </c>
      <c r="S926" s="93" t="s">
        <v>2757</v>
      </c>
    </row>
    <row r="927" spans="1:19">
      <c r="A927" s="92">
        <v>43186</v>
      </c>
      <c r="C927" s="1" t="s">
        <v>66</v>
      </c>
      <c r="E927" s="98" t="s">
        <v>1396</v>
      </c>
      <c r="F927" s="1" t="s">
        <v>1397</v>
      </c>
      <c r="G927" s="1" t="s">
        <v>2566</v>
      </c>
      <c r="H927" s="1">
        <v>4.96</v>
      </c>
      <c r="I927" s="1" t="s">
        <v>1448</v>
      </c>
      <c r="J927" s="1">
        <v>2.976</v>
      </c>
      <c r="K927" s="1" t="s">
        <v>136</v>
      </c>
      <c r="L927" s="1" t="s">
        <v>85</v>
      </c>
      <c r="M927" s="1" t="s">
        <v>71</v>
      </c>
      <c r="N927" s="1" t="s">
        <v>72</v>
      </c>
      <c r="O927" s="1" t="s">
        <v>64</v>
      </c>
      <c r="P927" s="1" t="s">
        <v>73</v>
      </c>
      <c r="R927" s="93">
        <v>43186</v>
      </c>
      <c r="S927" s="93" t="s">
        <v>2758</v>
      </c>
    </row>
    <row r="928" spans="1:19">
      <c r="A928" s="92">
        <v>43186</v>
      </c>
      <c r="C928" s="1" t="s">
        <v>66</v>
      </c>
      <c r="E928" s="98" t="s">
        <v>1449</v>
      </c>
      <c r="F928" s="1" t="s">
        <v>1450</v>
      </c>
      <c r="G928" s="1" t="s">
        <v>2588</v>
      </c>
      <c r="H928" s="1">
        <v>10</v>
      </c>
      <c r="I928" s="1" t="s">
        <v>1448</v>
      </c>
      <c r="J928" s="1">
        <v>6</v>
      </c>
      <c r="K928" s="1" t="s">
        <v>601</v>
      </c>
      <c r="L928" s="1" t="s">
        <v>93</v>
      </c>
      <c r="M928" s="1" t="s">
        <v>94</v>
      </c>
      <c r="N928" s="1" t="s">
        <v>72</v>
      </c>
      <c r="O928" s="1" t="s">
        <v>64</v>
      </c>
      <c r="P928" s="1" t="s">
        <v>95</v>
      </c>
      <c r="R928" s="93">
        <v>43186</v>
      </c>
      <c r="S928" s="93" t="s">
        <v>2758</v>
      </c>
    </row>
    <row r="929" spans="1:19">
      <c r="A929" s="92">
        <v>43186</v>
      </c>
      <c r="C929" s="1" t="s">
        <v>66</v>
      </c>
      <c r="E929" s="98" t="s">
        <v>1449</v>
      </c>
      <c r="F929" s="1" t="s">
        <v>1450</v>
      </c>
      <c r="G929" s="1" t="s">
        <v>2588</v>
      </c>
      <c r="H929" s="1">
        <v>10</v>
      </c>
      <c r="I929" s="1" t="s">
        <v>1448</v>
      </c>
      <c r="J929" s="1">
        <v>6</v>
      </c>
      <c r="K929" s="1" t="s">
        <v>601</v>
      </c>
      <c r="L929" s="1" t="s">
        <v>93</v>
      </c>
      <c r="M929" s="1" t="s">
        <v>94</v>
      </c>
      <c r="N929" s="1" t="s">
        <v>72</v>
      </c>
      <c r="O929" s="1" t="s">
        <v>64</v>
      </c>
      <c r="P929" s="1" t="s">
        <v>95</v>
      </c>
      <c r="R929" s="93">
        <v>43186</v>
      </c>
      <c r="S929" s="93" t="s">
        <v>2758</v>
      </c>
    </row>
    <row r="930" spans="1:19">
      <c r="A930" s="92">
        <v>43186</v>
      </c>
      <c r="C930" s="1" t="s">
        <v>66</v>
      </c>
      <c r="E930" s="98" t="s">
        <v>1449</v>
      </c>
      <c r="F930" s="1" t="s">
        <v>1450</v>
      </c>
      <c r="G930" s="1" t="s">
        <v>2588</v>
      </c>
      <c r="H930" s="1">
        <v>10</v>
      </c>
      <c r="I930" s="1" t="s">
        <v>1448</v>
      </c>
      <c r="J930" s="1">
        <v>6</v>
      </c>
      <c r="K930" s="1" t="s">
        <v>601</v>
      </c>
      <c r="L930" s="1" t="s">
        <v>93</v>
      </c>
      <c r="M930" s="1" t="s">
        <v>94</v>
      </c>
      <c r="N930" s="1" t="s">
        <v>72</v>
      </c>
      <c r="O930" s="1" t="s">
        <v>64</v>
      </c>
      <c r="P930" s="1" t="s">
        <v>95</v>
      </c>
      <c r="R930" s="93">
        <v>43186</v>
      </c>
      <c r="S930" s="93" t="s">
        <v>2758</v>
      </c>
    </row>
    <row r="931" spans="1:19">
      <c r="A931" s="92">
        <v>43186</v>
      </c>
      <c r="C931" s="1" t="s">
        <v>66</v>
      </c>
      <c r="E931" s="98" t="s">
        <v>1449</v>
      </c>
      <c r="F931" s="1" t="s">
        <v>1450</v>
      </c>
      <c r="G931" s="1" t="s">
        <v>2588</v>
      </c>
      <c r="H931" s="1">
        <v>4</v>
      </c>
      <c r="I931" s="1" t="s">
        <v>1448</v>
      </c>
      <c r="J931" s="1">
        <v>2.4</v>
      </c>
      <c r="K931" s="1" t="s">
        <v>601</v>
      </c>
      <c r="L931" s="1" t="s">
        <v>93</v>
      </c>
      <c r="M931" s="1" t="s">
        <v>94</v>
      </c>
      <c r="N931" s="1" t="s">
        <v>72</v>
      </c>
      <c r="O931" s="1" t="s">
        <v>64</v>
      </c>
      <c r="P931" s="1" t="s">
        <v>95</v>
      </c>
      <c r="R931" s="93">
        <v>43186</v>
      </c>
      <c r="S931" s="93" t="s">
        <v>2758</v>
      </c>
    </row>
    <row r="932" spans="1:19">
      <c r="A932" s="92">
        <v>43186</v>
      </c>
      <c r="C932" s="1" t="s">
        <v>56</v>
      </c>
      <c r="E932" s="98" t="s">
        <v>1451</v>
      </c>
      <c r="F932" s="1" t="s">
        <v>1452</v>
      </c>
      <c r="G932" s="1" t="s">
        <v>2589</v>
      </c>
      <c r="H932" s="1">
        <v>5</v>
      </c>
      <c r="I932" s="1" t="s">
        <v>1453</v>
      </c>
      <c r="J932" s="1">
        <v>5</v>
      </c>
      <c r="K932" s="1" t="s">
        <v>461</v>
      </c>
      <c r="L932" s="1" t="s">
        <v>85</v>
      </c>
      <c r="M932" s="1" t="s">
        <v>71</v>
      </c>
      <c r="N932" s="1" t="s">
        <v>72</v>
      </c>
      <c r="O932" s="1" t="s">
        <v>64</v>
      </c>
      <c r="P932" s="1" t="s">
        <v>73</v>
      </c>
      <c r="R932" s="93">
        <v>43186</v>
      </c>
      <c r="S932" s="93" t="s">
        <v>2757</v>
      </c>
    </row>
    <row r="933" spans="1:19">
      <c r="A933" s="92">
        <v>43186</v>
      </c>
      <c r="C933" s="1" t="s">
        <v>56</v>
      </c>
      <c r="E933" s="98" t="s">
        <v>852</v>
      </c>
      <c r="F933" s="1" t="s">
        <v>853</v>
      </c>
      <c r="G933" s="1" t="s">
        <v>2357</v>
      </c>
      <c r="H933" s="1">
        <v>0.26</v>
      </c>
      <c r="I933" s="1" t="s">
        <v>1454</v>
      </c>
      <c r="J933" s="1">
        <v>0.39</v>
      </c>
      <c r="K933" s="1" t="s">
        <v>274</v>
      </c>
      <c r="L933" s="1" t="s">
        <v>216</v>
      </c>
      <c r="M933" s="1" t="s">
        <v>52</v>
      </c>
      <c r="N933" s="1" t="s">
        <v>63</v>
      </c>
      <c r="O933" s="1" t="s">
        <v>64</v>
      </c>
      <c r="P933" s="1" t="s">
        <v>111</v>
      </c>
      <c r="R933" s="93">
        <v>43186</v>
      </c>
      <c r="S933" s="93" t="s">
        <v>2759</v>
      </c>
    </row>
    <row r="934" spans="1:19">
      <c r="A934" s="92">
        <v>43186</v>
      </c>
      <c r="C934" s="1" t="s">
        <v>66</v>
      </c>
      <c r="E934" s="98" t="s">
        <v>1396</v>
      </c>
      <c r="F934" s="1" t="s">
        <v>1397</v>
      </c>
      <c r="G934" s="1" t="s">
        <v>2566</v>
      </c>
      <c r="H934" s="1">
        <v>0.02</v>
      </c>
      <c r="I934" s="1" t="s">
        <v>1457</v>
      </c>
      <c r="J934" s="1">
        <v>6.0000000000000001E-3</v>
      </c>
      <c r="K934" s="1" t="s">
        <v>136</v>
      </c>
      <c r="L934" s="1" t="s">
        <v>85</v>
      </c>
      <c r="M934" s="1" t="s">
        <v>71</v>
      </c>
      <c r="N934" s="1" t="s">
        <v>72</v>
      </c>
      <c r="O934" s="1" t="s">
        <v>64</v>
      </c>
      <c r="P934" s="1" t="s">
        <v>73</v>
      </c>
      <c r="R934" s="93">
        <v>43186</v>
      </c>
      <c r="S934" s="93" t="s">
        <v>2760</v>
      </c>
    </row>
    <row r="935" spans="1:19">
      <c r="A935" s="92">
        <v>43186</v>
      </c>
      <c r="C935" s="1" t="s">
        <v>66</v>
      </c>
      <c r="E935" s="98" t="s">
        <v>1396</v>
      </c>
      <c r="F935" s="1" t="s">
        <v>1397</v>
      </c>
      <c r="G935" s="1" t="s">
        <v>2566</v>
      </c>
      <c r="H935" s="1">
        <v>0.02</v>
      </c>
      <c r="I935" s="1" t="s">
        <v>1457</v>
      </c>
      <c r="J935" s="1">
        <v>6.0000000000000001E-3</v>
      </c>
      <c r="K935" s="1" t="s">
        <v>136</v>
      </c>
      <c r="L935" s="1" t="s">
        <v>85</v>
      </c>
      <c r="M935" s="1" t="s">
        <v>71</v>
      </c>
      <c r="N935" s="1" t="s">
        <v>72</v>
      </c>
      <c r="O935" s="1" t="s">
        <v>64</v>
      </c>
      <c r="P935" s="1" t="s">
        <v>73</v>
      </c>
      <c r="R935" s="93">
        <v>43186</v>
      </c>
      <c r="S935" s="93" t="s">
        <v>2760</v>
      </c>
    </row>
    <row r="936" spans="1:19">
      <c r="A936" s="92">
        <v>43186</v>
      </c>
      <c r="C936" s="1" t="s">
        <v>56</v>
      </c>
      <c r="E936" s="98" t="s">
        <v>1140</v>
      </c>
      <c r="F936" s="1" t="s">
        <v>1141</v>
      </c>
      <c r="G936" s="1" t="s">
        <v>2469</v>
      </c>
      <c r="H936" s="1">
        <v>3</v>
      </c>
      <c r="I936" s="1" t="s">
        <v>1457</v>
      </c>
      <c r="J936" s="1">
        <v>0.9</v>
      </c>
      <c r="K936" s="1" t="s">
        <v>212</v>
      </c>
      <c r="L936" s="1" t="s">
        <v>150</v>
      </c>
      <c r="M936" s="1" t="s">
        <v>132</v>
      </c>
      <c r="N936" s="1" t="s">
        <v>72</v>
      </c>
      <c r="O936" s="1" t="s">
        <v>64</v>
      </c>
      <c r="P936" s="1" t="s">
        <v>133</v>
      </c>
      <c r="R936" s="93">
        <v>43186</v>
      </c>
      <c r="S936" s="93" t="s">
        <v>2760</v>
      </c>
    </row>
    <row r="937" spans="1:19">
      <c r="A937" s="92">
        <v>43186</v>
      </c>
      <c r="C937" s="1" t="s">
        <v>66</v>
      </c>
      <c r="E937" s="98" t="s">
        <v>695</v>
      </c>
      <c r="F937" s="1" t="s">
        <v>696</v>
      </c>
      <c r="G937" s="1" t="s">
        <v>2296</v>
      </c>
      <c r="H937" s="1">
        <v>0.6</v>
      </c>
      <c r="I937" s="1" t="s">
        <v>1457</v>
      </c>
      <c r="J937" s="1">
        <v>0.18</v>
      </c>
      <c r="K937" s="1" t="s">
        <v>114</v>
      </c>
      <c r="L937" s="1" t="s">
        <v>85</v>
      </c>
      <c r="M937" s="1" t="s">
        <v>71</v>
      </c>
      <c r="N937" s="1" t="s">
        <v>72</v>
      </c>
      <c r="O937" s="1" t="s">
        <v>64</v>
      </c>
      <c r="P937" s="1" t="s">
        <v>73</v>
      </c>
      <c r="R937" s="93">
        <v>43186</v>
      </c>
      <c r="S937" s="93" t="s">
        <v>2760</v>
      </c>
    </row>
    <row r="938" spans="1:19">
      <c r="A938" s="92">
        <v>43186</v>
      </c>
      <c r="C938" s="1" t="s">
        <v>56</v>
      </c>
      <c r="E938" s="98" t="s">
        <v>727</v>
      </c>
      <c r="F938" s="1" t="s">
        <v>728</v>
      </c>
      <c r="G938" s="1" t="s">
        <v>2309</v>
      </c>
      <c r="H938" s="1">
        <v>1.2</v>
      </c>
      <c r="I938" s="1" t="s">
        <v>1457</v>
      </c>
      <c r="J938" s="1">
        <v>0.36</v>
      </c>
      <c r="K938" s="1" t="s">
        <v>277</v>
      </c>
      <c r="L938" s="1" t="s">
        <v>269</v>
      </c>
      <c r="M938" s="1" t="s">
        <v>132</v>
      </c>
      <c r="N938" s="1" t="s">
        <v>72</v>
      </c>
      <c r="O938" s="1" t="s">
        <v>64</v>
      </c>
      <c r="P938" s="1" t="s">
        <v>133</v>
      </c>
      <c r="R938" s="93">
        <v>43186</v>
      </c>
      <c r="S938" s="93" t="s">
        <v>2760</v>
      </c>
    </row>
    <row r="939" spans="1:19">
      <c r="A939" s="92">
        <v>43186</v>
      </c>
      <c r="C939" s="1" t="s">
        <v>56</v>
      </c>
      <c r="E939" s="98" t="s">
        <v>1458</v>
      </c>
      <c r="F939" s="1" t="s">
        <v>1459</v>
      </c>
      <c r="G939" s="1" t="s">
        <v>2590</v>
      </c>
      <c r="H939" s="1">
        <v>11.3</v>
      </c>
      <c r="I939" s="1" t="s">
        <v>1457</v>
      </c>
      <c r="J939" s="1">
        <v>3.39</v>
      </c>
      <c r="K939" s="1" t="s">
        <v>1233</v>
      </c>
      <c r="L939" s="1" t="s">
        <v>110</v>
      </c>
      <c r="M939" s="1" t="s">
        <v>52</v>
      </c>
      <c r="N939" s="1" t="s">
        <v>63</v>
      </c>
      <c r="O939" s="1" t="s">
        <v>64</v>
      </c>
      <c r="P939" s="1" t="s">
        <v>111</v>
      </c>
      <c r="R939" s="93">
        <v>43186</v>
      </c>
      <c r="S939" s="93" t="s">
        <v>2760</v>
      </c>
    </row>
    <row r="940" spans="1:19">
      <c r="A940" s="92">
        <v>43187</v>
      </c>
      <c r="C940" s="1" t="s">
        <v>56</v>
      </c>
      <c r="E940" s="98" t="s">
        <v>275</v>
      </c>
      <c r="F940" s="1" t="s">
        <v>276</v>
      </c>
      <c r="G940" s="1" t="s">
        <v>2136</v>
      </c>
      <c r="H940" s="1">
        <v>5</v>
      </c>
      <c r="I940" s="1" t="s">
        <v>1457</v>
      </c>
      <c r="J940" s="1">
        <v>1.5</v>
      </c>
      <c r="K940" s="1" t="s">
        <v>277</v>
      </c>
      <c r="L940" s="1" t="s">
        <v>269</v>
      </c>
      <c r="M940" s="1" t="s">
        <v>132</v>
      </c>
      <c r="N940" s="1" t="s">
        <v>72</v>
      </c>
      <c r="O940" s="1" t="s">
        <v>64</v>
      </c>
      <c r="P940" s="1" t="s">
        <v>133</v>
      </c>
      <c r="R940" s="93">
        <v>43187</v>
      </c>
      <c r="S940" s="93" t="s">
        <v>2760</v>
      </c>
    </row>
    <row r="941" spans="1:19">
      <c r="A941" s="92">
        <v>43187</v>
      </c>
      <c r="C941" s="1" t="s">
        <v>56</v>
      </c>
      <c r="E941" s="98" t="s">
        <v>1460</v>
      </c>
      <c r="F941" s="1" t="s">
        <v>1461</v>
      </c>
      <c r="G941" s="1" t="s">
        <v>2591</v>
      </c>
      <c r="H941" s="1">
        <v>2</v>
      </c>
      <c r="I941" s="1" t="s">
        <v>1457</v>
      </c>
      <c r="J941" s="1">
        <v>0.6</v>
      </c>
      <c r="K941" s="1" t="s">
        <v>306</v>
      </c>
      <c r="L941" s="1" t="s">
        <v>70</v>
      </c>
      <c r="M941" s="1" t="s">
        <v>71</v>
      </c>
      <c r="N941" s="1" t="s">
        <v>72</v>
      </c>
      <c r="O941" s="1" t="s">
        <v>64</v>
      </c>
      <c r="P941" s="1" t="s">
        <v>73</v>
      </c>
      <c r="R941" s="93">
        <v>43187</v>
      </c>
      <c r="S941" s="93" t="s">
        <v>2760</v>
      </c>
    </row>
    <row r="942" spans="1:19">
      <c r="A942" s="92">
        <v>43187</v>
      </c>
      <c r="C942" s="1" t="s">
        <v>66</v>
      </c>
      <c r="E942" s="98" t="s">
        <v>1462</v>
      </c>
      <c r="F942" s="1" t="s">
        <v>1463</v>
      </c>
      <c r="G942" s="1" t="s">
        <v>2592</v>
      </c>
      <c r="H942" s="1">
        <v>2.5</v>
      </c>
      <c r="I942" s="1" t="s">
        <v>1464</v>
      </c>
      <c r="J942" s="1">
        <v>0.75</v>
      </c>
      <c r="K942" s="1" t="s">
        <v>312</v>
      </c>
      <c r="L942" s="1" t="s">
        <v>117</v>
      </c>
      <c r="M942" s="1" t="s">
        <v>2661</v>
      </c>
      <c r="N942" s="1" t="s">
        <v>72</v>
      </c>
      <c r="O942" s="1" t="s">
        <v>64</v>
      </c>
      <c r="P942" s="1" t="s">
        <v>53</v>
      </c>
      <c r="R942" s="93">
        <v>43187</v>
      </c>
      <c r="S942" s="93" t="s">
        <v>2761</v>
      </c>
    </row>
    <row r="943" spans="1:19">
      <c r="A943" s="92">
        <v>43187</v>
      </c>
      <c r="C943" s="1" t="s">
        <v>56</v>
      </c>
      <c r="E943" s="98" t="s">
        <v>1465</v>
      </c>
      <c r="F943" s="1" t="s">
        <v>1466</v>
      </c>
      <c r="G943" s="1" t="s">
        <v>2593</v>
      </c>
      <c r="H943" s="1">
        <v>2.8</v>
      </c>
      <c r="I943" s="1" t="s">
        <v>1464</v>
      </c>
      <c r="J943" s="1">
        <v>0.84</v>
      </c>
      <c r="K943" s="1" t="s">
        <v>167</v>
      </c>
      <c r="L943" s="1" t="s">
        <v>117</v>
      </c>
      <c r="M943" s="1" t="s">
        <v>2661</v>
      </c>
      <c r="N943" s="1" t="s">
        <v>72</v>
      </c>
      <c r="O943" s="1" t="s">
        <v>64</v>
      </c>
      <c r="P943" s="1" t="s">
        <v>53</v>
      </c>
      <c r="R943" s="93">
        <v>43187</v>
      </c>
      <c r="S943" s="93" t="s">
        <v>2761</v>
      </c>
    </row>
    <row r="944" spans="1:19">
      <c r="A944" s="92">
        <v>43187</v>
      </c>
      <c r="C944" s="1" t="s">
        <v>56</v>
      </c>
      <c r="E944" s="98" t="s">
        <v>1467</v>
      </c>
      <c r="F944" s="1" t="s">
        <v>580</v>
      </c>
      <c r="G944" s="1" t="s">
        <v>2028</v>
      </c>
      <c r="H944" s="1">
        <v>0.6</v>
      </c>
      <c r="I944" s="1" t="s">
        <v>1464</v>
      </c>
      <c r="J944" s="1">
        <v>0.18</v>
      </c>
      <c r="K944" s="1" t="s">
        <v>580</v>
      </c>
      <c r="L944" s="1" t="s">
        <v>150</v>
      </c>
      <c r="M944" s="1" t="s">
        <v>132</v>
      </c>
      <c r="N944" s="1" t="s">
        <v>72</v>
      </c>
      <c r="O944" s="1" t="s">
        <v>64</v>
      </c>
      <c r="P944" s="1" t="s">
        <v>133</v>
      </c>
      <c r="R944" s="93">
        <v>43187</v>
      </c>
      <c r="S944" s="93" t="s">
        <v>2761</v>
      </c>
    </row>
    <row r="945" spans="1:19">
      <c r="A945" s="92">
        <v>43187</v>
      </c>
      <c r="C945" s="1" t="s">
        <v>66</v>
      </c>
      <c r="E945" s="98" t="s">
        <v>1468</v>
      </c>
      <c r="F945" s="1" t="s">
        <v>1469</v>
      </c>
      <c r="G945" s="1" t="s">
        <v>2594</v>
      </c>
      <c r="H945" s="1">
        <v>2</v>
      </c>
      <c r="I945" s="1" t="s">
        <v>1464</v>
      </c>
      <c r="J945" s="1">
        <v>0.6</v>
      </c>
      <c r="K945" s="1" t="s">
        <v>239</v>
      </c>
      <c r="L945" s="1" t="s">
        <v>150</v>
      </c>
      <c r="M945" s="1" t="s">
        <v>132</v>
      </c>
      <c r="N945" s="1" t="s">
        <v>72</v>
      </c>
      <c r="O945" s="1" t="s">
        <v>64</v>
      </c>
      <c r="P945" s="1" t="s">
        <v>133</v>
      </c>
      <c r="R945" s="93">
        <v>43187</v>
      </c>
      <c r="S945" s="93" t="s">
        <v>2761</v>
      </c>
    </row>
    <row r="946" spans="1:19">
      <c r="A946" s="92">
        <v>43187</v>
      </c>
      <c r="C946" s="1" t="s">
        <v>56</v>
      </c>
      <c r="E946" s="98" t="s">
        <v>1472</v>
      </c>
      <c r="F946" s="1" t="s">
        <v>1473</v>
      </c>
      <c r="G946" s="1" t="s">
        <v>1984</v>
      </c>
      <c r="H946" s="1">
        <v>3.4</v>
      </c>
      <c r="I946" s="1" t="s">
        <v>1464</v>
      </c>
      <c r="J946" s="1">
        <v>1.02</v>
      </c>
      <c r="K946" s="1" t="s">
        <v>653</v>
      </c>
      <c r="L946" s="1" t="s">
        <v>253</v>
      </c>
      <c r="M946" s="1" t="s">
        <v>94</v>
      </c>
      <c r="N946" s="1" t="s">
        <v>72</v>
      </c>
      <c r="O946" s="1" t="s">
        <v>64</v>
      </c>
      <c r="P946" s="1" t="s">
        <v>95</v>
      </c>
      <c r="R946" s="93">
        <v>43187</v>
      </c>
      <c r="S946" s="93" t="s">
        <v>2761</v>
      </c>
    </row>
    <row r="947" spans="1:19">
      <c r="A947" s="92">
        <v>43188</v>
      </c>
      <c r="C947" s="1" t="s">
        <v>66</v>
      </c>
      <c r="E947" s="98" t="s">
        <v>1446</v>
      </c>
      <c r="F947" s="1" t="s">
        <v>1447</v>
      </c>
      <c r="G947" s="1" t="s">
        <v>2587</v>
      </c>
      <c r="H947" s="1">
        <v>4.5</v>
      </c>
      <c r="I947" s="1" t="s">
        <v>1476</v>
      </c>
      <c r="J947" s="1">
        <v>4.5</v>
      </c>
      <c r="K947" s="1" t="s">
        <v>601</v>
      </c>
      <c r="L947" s="1" t="s">
        <v>93</v>
      </c>
      <c r="M947" s="1" t="s">
        <v>94</v>
      </c>
      <c r="N947" s="1" t="s">
        <v>72</v>
      </c>
      <c r="O947" s="1" t="s">
        <v>64</v>
      </c>
      <c r="P947" s="1" t="s">
        <v>95</v>
      </c>
      <c r="R947" s="93">
        <v>43188</v>
      </c>
      <c r="S947" s="93" t="s">
        <v>2762</v>
      </c>
    </row>
    <row r="948" spans="1:19">
      <c r="A948" s="92">
        <v>43187</v>
      </c>
      <c r="C948" s="1" t="s">
        <v>66</v>
      </c>
      <c r="E948" s="98" t="s">
        <v>1477</v>
      </c>
      <c r="F948" s="1" t="s">
        <v>1478</v>
      </c>
      <c r="G948" s="1" t="s">
        <v>2595</v>
      </c>
      <c r="H948" s="1">
        <v>15</v>
      </c>
      <c r="I948" s="1" t="s">
        <v>1479</v>
      </c>
      <c r="J948" s="1">
        <v>9</v>
      </c>
      <c r="K948" s="1" t="s">
        <v>277</v>
      </c>
      <c r="L948" s="1" t="s">
        <v>269</v>
      </c>
      <c r="M948" s="1" t="s">
        <v>132</v>
      </c>
      <c r="N948" s="1" t="s">
        <v>72</v>
      </c>
      <c r="O948" s="1" t="s">
        <v>64</v>
      </c>
      <c r="P948" s="1" t="s">
        <v>133</v>
      </c>
      <c r="R948" s="93">
        <v>43187</v>
      </c>
      <c r="S948" s="93" t="s">
        <v>2763</v>
      </c>
    </row>
    <row r="949" spans="1:19">
      <c r="A949" s="92">
        <v>43188</v>
      </c>
      <c r="C949" s="1" t="s">
        <v>56</v>
      </c>
      <c r="E949" s="98" t="s">
        <v>1480</v>
      </c>
      <c r="F949" s="1" t="s">
        <v>1481</v>
      </c>
      <c r="G949" s="1" t="s">
        <v>2596</v>
      </c>
      <c r="H949" s="1">
        <v>1.5</v>
      </c>
      <c r="I949" s="1" t="s">
        <v>1479</v>
      </c>
      <c r="J949" s="1">
        <v>0.9</v>
      </c>
      <c r="K949" s="1" t="s">
        <v>226</v>
      </c>
      <c r="L949" s="1" t="s">
        <v>117</v>
      </c>
      <c r="M949" s="1" t="s">
        <v>2661</v>
      </c>
      <c r="N949" s="1" t="s">
        <v>72</v>
      </c>
      <c r="O949" s="1" t="s">
        <v>64</v>
      </c>
      <c r="P949" s="1" t="s">
        <v>53</v>
      </c>
      <c r="R949" s="93">
        <v>43188</v>
      </c>
      <c r="S949" s="93" t="s">
        <v>2763</v>
      </c>
    </row>
    <row r="950" spans="1:19">
      <c r="A950" s="92">
        <v>43188</v>
      </c>
      <c r="C950" s="1" t="s">
        <v>66</v>
      </c>
      <c r="E950" s="98" t="s">
        <v>1482</v>
      </c>
      <c r="F950" s="1" t="s">
        <v>1483</v>
      </c>
      <c r="G950" s="1" t="s">
        <v>2597</v>
      </c>
      <c r="H950" s="1">
        <v>1.52</v>
      </c>
      <c r="I950" s="1" t="s">
        <v>1479</v>
      </c>
      <c r="J950" s="1">
        <v>0.91200000000000003</v>
      </c>
      <c r="K950" s="1" t="s">
        <v>124</v>
      </c>
      <c r="L950" s="1" t="s">
        <v>117</v>
      </c>
      <c r="M950" s="1" t="s">
        <v>2661</v>
      </c>
      <c r="N950" s="1" t="s">
        <v>72</v>
      </c>
      <c r="O950" s="1" t="s">
        <v>64</v>
      </c>
      <c r="P950" s="1" t="s">
        <v>53</v>
      </c>
      <c r="R950" s="93">
        <v>43188</v>
      </c>
      <c r="S950" s="93" t="s">
        <v>2763</v>
      </c>
    </row>
    <row r="951" spans="1:19">
      <c r="A951" s="92">
        <v>43188</v>
      </c>
      <c r="C951" s="1" t="s">
        <v>56</v>
      </c>
      <c r="E951" s="98" t="s">
        <v>1480</v>
      </c>
      <c r="F951" s="1" t="s">
        <v>1481</v>
      </c>
      <c r="G951" s="1" t="s">
        <v>2596</v>
      </c>
      <c r="H951" s="1">
        <v>2</v>
      </c>
      <c r="I951" s="1" t="s">
        <v>1479</v>
      </c>
      <c r="J951" s="1">
        <v>1.2</v>
      </c>
      <c r="K951" s="1" t="s">
        <v>226</v>
      </c>
      <c r="L951" s="1" t="s">
        <v>117</v>
      </c>
      <c r="M951" s="1" t="s">
        <v>2661</v>
      </c>
      <c r="N951" s="1" t="s">
        <v>72</v>
      </c>
      <c r="O951" s="1" t="s">
        <v>64</v>
      </c>
      <c r="P951" s="1" t="s">
        <v>53</v>
      </c>
      <c r="R951" s="93">
        <v>43188</v>
      </c>
      <c r="S951" s="93" t="s">
        <v>2763</v>
      </c>
    </row>
    <row r="952" spans="1:19">
      <c r="A952" s="92">
        <v>43187</v>
      </c>
      <c r="C952" s="1" t="s">
        <v>56</v>
      </c>
      <c r="E952" s="98" t="s">
        <v>1484</v>
      </c>
      <c r="F952" s="1" t="s">
        <v>1485</v>
      </c>
      <c r="G952" s="1" t="s">
        <v>2598</v>
      </c>
      <c r="H952" s="1">
        <v>5</v>
      </c>
      <c r="I952" s="1" t="s">
        <v>1486</v>
      </c>
      <c r="J952" s="1">
        <v>5</v>
      </c>
      <c r="K952" s="1" t="s">
        <v>175</v>
      </c>
      <c r="L952" s="1" t="s">
        <v>131</v>
      </c>
      <c r="M952" s="1" t="s">
        <v>132</v>
      </c>
      <c r="N952" s="1" t="s">
        <v>72</v>
      </c>
      <c r="O952" s="1" t="s">
        <v>64</v>
      </c>
      <c r="P952" s="1" t="s">
        <v>133</v>
      </c>
      <c r="R952" s="93">
        <v>43187</v>
      </c>
      <c r="S952" s="93" t="s">
        <v>2757</v>
      </c>
    </row>
    <row r="953" spans="1:19">
      <c r="A953" s="92">
        <v>43187</v>
      </c>
      <c r="C953" s="1" t="s">
        <v>66</v>
      </c>
      <c r="E953" s="98" t="s">
        <v>1488</v>
      </c>
      <c r="F953" s="1" t="s">
        <v>1489</v>
      </c>
      <c r="G953" s="1" t="s">
        <v>2599</v>
      </c>
      <c r="H953" s="1">
        <v>5</v>
      </c>
      <c r="I953" s="1" t="s">
        <v>1487</v>
      </c>
      <c r="J953" s="1">
        <v>5</v>
      </c>
      <c r="K953" s="1" t="s">
        <v>312</v>
      </c>
      <c r="L953" s="1" t="s">
        <v>117</v>
      </c>
      <c r="M953" s="1" t="s">
        <v>2661</v>
      </c>
      <c r="N953" s="1" t="s">
        <v>72</v>
      </c>
      <c r="O953" s="1" t="s">
        <v>64</v>
      </c>
      <c r="P953" s="1" t="s">
        <v>53</v>
      </c>
      <c r="R953" s="93">
        <v>43187</v>
      </c>
      <c r="S953" s="93" t="s">
        <v>2762</v>
      </c>
    </row>
    <row r="954" spans="1:19">
      <c r="A954" s="92">
        <v>43187</v>
      </c>
      <c r="C954" s="1" t="s">
        <v>56</v>
      </c>
      <c r="E954" s="98" t="s">
        <v>1490</v>
      </c>
      <c r="F954" s="1" t="s">
        <v>1491</v>
      </c>
      <c r="G954" s="1" t="s">
        <v>2600</v>
      </c>
      <c r="H954" s="1">
        <v>2.0081639999999998</v>
      </c>
      <c r="I954" s="1" t="s">
        <v>1487</v>
      </c>
      <c r="J954" s="1">
        <v>2.0081639999999998</v>
      </c>
      <c r="K954" s="1" t="s">
        <v>172</v>
      </c>
      <c r="L954" s="1" t="s">
        <v>131</v>
      </c>
      <c r="M954" s="1" t="s">
        <v>132</v>
      </c>
      <c r="N954" s="1" t="s">
        <v>72</v>
      </c>
      <c r="O954" s="1" t="s">
        <v>64</v>
      </c>
      <c r="P954" s="1" t="s">
        <v>133</v>
      </c>
      <c r="R954" s="93">
        <v>43187</v>
      </c>
      <c r="S954" s="93" t="s">
        <v>2762</v>
      </c>
    </row>
    <row r="955" spans="1:19">
      <c r="A955" s="92">
        <v>43187</v>
      </c>
      <c r="C955" s="1" t="s">
        <v>56</v>
      </c>
      <c r="E955" s="98" t="s">
        <v>1492</v>
      </c>
      <c r="F955" s="1" t="s">
        <v>1493</v>
      </c>
      <c r="G955" s="1" t="s">
        <v>2601</v>
      </c>
      <c r="H955" s="1">
        <v>2.2599999999999998</v>
      </c>
      <c r="I955" s="1" t="s">
        <v>1487</v>
      </c>
      <c r="J955" s="1">
        <v>2.2599999999999998</v>
      </c>
      <c r="K955" s="1" t="s">
        <v>175</v>
      </c>
      <c r="L955" s="1" t="s">
        <v>131</v>
      </c>
      <c r="M955" s="1" t="s">
        <v>132</v>
      </c>
      <c r="N955" s="1" t="s">
        <v>72</v>
      </c>
      <c r="O955" s="1" t="s">
        <v>64</v>
      </c>
      <c r="P955" s="1" t="s">
        <v>133</v>
      </c>
      <c r="R955" s="93">
        <v>43187</v>
      </c>
      <c r="S955" s="93" t="s">
        <v>2762</v>
      </c>
    </row>
    <row r="956" spans="1:19">
      <c r="A956" s="92">
        <v>43187</v>
      </c>
      <c r="C956" s="1" t="s">
        <v>56</v>
      </c>
      <c r="E956" s="98" t="s">
        <v>1494</v>
      </c>
      <c r="F956" s="1" t="s">
        <v>1495</v>
      </c>
      <c r="G956" s="1" t="s">
        <v>2602</v>
      </c>
      <c r="H956" s="1">
        <v>5.65</v>
      </c>
      <c r="I956" s="1" t="s">
        <v>1487</v>
      </c>
      <c r="J956" s="1">
        <v>5.65</v>
      </c>
      <c r="K956" s="1" t="s">
        <v>551</v>
      </c>
      <c r="L956" s="1" t="s">
        <v>105</v>
      </c>
      <c r="M956" s="1" t="s">
        <v>62</v>
      </c>
      <c r="N956" s="1" t="s">
        <v>63</v>
      </c>
      <c r="O956" s="1" t="s">
        <v>64</v>
      </c>
      <c r="P956" s="1" t="s">
        <v>65</v>
      </c>
      <c r="R956" s="93">
        <v>43187</v>
      </c>
      <c r="S956" s="93" t="s">
        <v>2762</v>
      </c>
    </row>
    <row r="957" spans="1:19">
      <c r="A957" s="92">
        <v>43187</v>
      </c>
      <c r="C957" s="1" t="s">
        <v>66</v>
      </c>
      <c r="E957" s="98" t="s">
        <v>1496</v>
      </c>
      <c r="F957" s="1" t="s">
        <v>1497</v>
      </c>
      <c r="G957" s="1" t="s">
        <v>2603</v>
      </c>
      <c r="H957" s="1">
        <v>5</v>
      </c>
      <c r="I957" s="1" t="s">
        <v>1487</v>
      </c>
      <c r="J957" s="1">
        <v>5</v>
      </c>
      <c r="K957" s="1" t="s">
        <v>139</v>
      </c>
      <c r="L957" s="1" t="s">
        <v>131</v>
      </c>
      <c r="M957" s="1" t="s">
        <v>132</v>
      </c>
      <c r="N957" s="1" t="s">
        <v>72</v>
      </c>
      <c r="O957" s="1" t="s">
        <v>64</v>
      </c>
      <c r="P957" s="1" t="s">
        <v>133</v>
      </c>
      <c r="R957" s="93">
        <v>43187</v>
      </c>
      <c r="S957" s="93" t="s">
        <v>2762</v>
      </c>
    </row>
    <row r="958" spans="1:19">
      <c r="A958" s="92">
        <v>43187</v>
      </c>
      <c r="C958" s="1" t="s">
        <v>56</v>
      </c>
      <c r="E958" s="98" t="s">
        <v>1498</v>
      </c>
      <c r="F958" s="1" t="s">
        <v>1499</v>
      </c>
      <c r="G958" s="1" t="s">
        <v>2604</v>
      </c>
      <c r="H958" s="1">
        <v>5</v>
      </c>
      <c r="I958" s="1" t="s">
        <v>1487</v>
      </c>
      <c r="J958" s="1">
        <v>5</v>
      </c>
      <c r="K958" s="1" t="s">
        <v>85</v>
      </c>
      <c r="L958" s="1" t="s">
        <v>85</v>
      </c>
      <c r="M958" s="1" t="s">
        <v>71</v>
      </c>
      <c r="N958" s="1" t="s">
        <v>72</v>
      </c>
      <c r="O958" s="1" t="s">
        <v>64</v>
      </c>
      <c r="P958" s="1" t="s">
        <v>73</v>
      </c>
      <c r="R958" s="93">
        <v>43187</v>
      </c>
      <c r="S958" s="93" t="s">
        <v>2762</v>
      </c>
    </row>
    <row r="959" spans="1:19">
      <c r="A959" s="92">
        <v>43187</v>
      </c>
      <c r="C959" s="1" t="s">
        <v>56</v>
      </c>
      <c r="E959" s="98" t="s">
        <v>1500</v>
      </c>
      <c r="F959" s="1" t="s">
        <v>1501</v>
      </c>
      <c r="G959" s="1" t="s">
        <v>2605</v>
      </c>
      <c r="H959" s="1">
        <v>3</v>
      </c>
      <c r="I959" s="1" t="s">
        <v>1487</v>
      </c>
      <c r="J959" s="1">
        <v>3</v>
      </c>
      <c r="K959" s="1" t="s">
        <v>124</v>
      </c>
      <c r="L959" s="1" t="s">
        <v>117</v>
      </c>
      <c r="M959" s="1" t="s">
        <v>2661</v>
      </c>
      <c r="N959" s="1" t="s">
        <v>72</v>
      </c>
      <c r="O959" s="1" t="s">
        <v>64</v>
      </c>
      <c r="P959" s="1" t="s">
        <v>53</v>
      </c>
      <c r="R959" s="93">
        <v>43187</v>
      </c>
      <c r="S959" s="93" t="s">
        <v>2762</v>
      </c>
    </row>
    <row r="960" spans="1:19">
      <c r="A960" s="92">
        <v>43187</v>
      </c>
      <c r="C960" s="1" t="s">
        <v>56</v>
      </c>
      <c r="E960" s="98" t="s">
        <v>1502</v>
      </c>
      <c r="F960" s="1" t="s">
        <v>1503</v>
      </c>
      <c r="G960" s="1" t="s">
        <v>2606</v>
      </c>
      <c r="H960" s="1">
        <v>6</v>
      </c>
      <c r="I960" s="1" t="s">
        <v>1487</v>
      </c>
      <c r="J960" s="1">
        <v>6</v>
      </c>
      <c r="K960" s="1" t="s">
        <v>239</v>
      </c>
      <c r="L960" s="1" t="s">
        <v>150</v>
      </c>
      <c r="M960" s="1" t="s">
        <v>132</v>
      </c>
      <c r="N960" s="1" t="s">
        <v>72</v>
      </c>
      <c r="O960" s="1" t="s">
        <v>64</v>
      </c>
      <c r="P960" s="1" t="s">
        <v>133</v>
      </c>
      <c r="R960" s="93">
        <v>43187</v>
      </c>
      <c r="S960" s="93" t="s">
        <v>2762</v>
      </c>
    </row>
    <row r="961" spans="1:19">
      <c r="A961" s="92">
        <v>43187</v>
      </c>
      <c r="C961" s="1" t="s">
        <v>56</v>
      </c>
      <c r="E961" s="98" t="s">
        <v>331</v>
      </c>
      <c r="F961" s="1" t="s">
        <v>332</v>
      </c>
      <c r="G961" s="1" t="s">
        <v>2161</v>
      </c>
      <c r="H961" s="1">
        <v>1</v>
      </c>
      <c r="I961" s="1" t="s">
        <v>1487</v>
      </c>
      <c r="J961" s="1">
        <v>1</v>
      </c>
      <c r="K961" s="1" t="s">
        <v>239</v>
      </c>
      <c r="L961" s="1" t="s">
        <v>150</v>
      </c>
      <c r="M961" s="1" t="s">
        <v>132</v>
      </c>
      <c r="N961" s="1" t="s">
        <v>72</v>
      </c>
      <c r="O961" s="1" t="s">
        <v>64</v>
      </c>
      <c r="P961" s="1" t="s">
        <v>133</v>
      </c>
      <c r="R961" s="93">
        <v>43187</v>
      </c>
      <c r="S961" s="93" t="s">
        <v>2762</v>
      </c>
    </row>
    <row r="962" spans="1:19">
      <c r="A962" s="92">
        <v>43187</v>
      </c>
      <c r="C962" s="1" t="s">
        <v>66</v>
      </c>
      <c r="E962" s="98" t="s">
        <v>1504</v>
      </c>
      <c r="F962" s="1" t="s">
        <v>1505</v>
      </c>
      <c r="G962" s="1" t="s">
        <v>2607</v>
      </c>
      <c r="H962" s="1">
        <v>1</v>
      </c>
      <c r="I962" s="1" t="s">
        <v>1487</v>
      </c>
      <c r="J962" s="1">
        <v>1</v>
      </c>
      <c r="K962" s="1" t="s">
        <v>69</v>
      </c>
      <c r="L962" s="1" t="s">
        <v>70</v>
      </c>
      <c r="M962" s="1" t="s">
        <v>71</v>
      </c>
      <c r="N962" s="1" t="s">
        <v>72</v>
      </c>
      <c r="O962" s="1" t="s">
        <v>64</v>
      </c>
      <c r="P962" s="1" t="s">
        <v>73</v>
      </c>
      <c r="R962" s="93">
        <v>43187</v>
      </c>
      <c r="S962" s="93" t="s">
        <v>2762</v>
      </c>
    </row>
    <row r="963" spans="1:19">
      <c r="A963" s="92">
        <v>43188</v>
      </c>
      <c r="C963" s="1" t="s">
        <v>66</v>
      </c>
      <c r="E963" s="98" t="s">
        <v>1508</v>
      </c>
      <c r="F963" s="1" t="s">
        <v>1509</v>
      </c>
      <c r="G963" s="1" t="s">
        <v>2608</v>
      </c>
      <c r="H963" s="1">
        <v>5</v>
      </c>
      <c r="I963" s="1" t="s">
        <v>1487</v>
      </c>
      <c r="J963" s="1">
        <v>5</v>
      </c>
      <c r="K963" s="1" t="s">
        <v>70</v>
      </c>
      <c r="L963" s="1" t="s">
        <v>70</v>
      </c>
      <c r="M963" s="1" t="s">
        <v>71</v>
      </c>
      <c r="N963" s="1" t="s">
        <v>72</v>
      </c>
      <c r="O963" s="1" t="s">
        <v>64</v>
      </c>
      <c r="P963" s="1" t="s">
        <v>73</v>
      </c>
      <c r="R963" s="93">
        <v>43188</v>
      </c>
      <c r="S963" s="93" t="s">
        <v>2762</v>
      </c>
    </row>
    <row r="964" spans="1:19">
      <c r="A964" s="92">
        <v>43188</v>
      </c>
      <c r="C964" s="1" t="s">
        <v>56</v>
      </c>
      <c r="E964" s="98" t="s">
        <v>1510</v>
      </c>
      <c r="F964" s="1" t="s">
        <v>1511</v>
      </c>
      <c r="G964" s="1" t="s">
        <v>2609</v>
      </c>
      <c r="H964" s="1">
        <v>2</v>
      </c>
      <c r="I964" s="1" t="s">
        <v>1487</v>
      </c>
      <c r="J964" s="1">
        <v>2</v>
      </c>
      <c r="K964" s="1" t="s">
        <v>175</v>
      </c>
      <c r="L964" s="1" t="s">
        <v>131</v>
      </c>
      <c r="M964" s="1" t="s">
        <v>132</v>
      </c>
      <c r="N964" s="1" t="s">
        <v>72</v>
      </c>
      <c r="O964" s="1" t="s">
        <v>64</v>
      </c>
      <c r="P964" s="1" t="s">
        <v>133</v>
      </c>
      <c r="R964" s="93">
        <v>43188</v>
      </c>
      <c r="S964" s="93" t="s">
        <v>2762</v>
      </c>
    </row>
    <row r="965" spans="1:19">
      <c r="A965" s="92">
        <v>43188</v>
      </c>
      <c r="C965" s="1" t="s">
        <v>56</v>
      </c>
      <c r="E965" s="98" t="s">
        <v>1433</v>
      </c>
      <c r="F965" s="1" t="s">
        <v>1434</v>
      </c>
      <c r="G965" s="1" t="s">
        <v>2580</v>
      </c>
      <c r="H965" s="1">
        <v>1</v>
      </c>
      <c r="I965" s="1" t="s">
        <v>1512</v>
      </c>
      <c r="J965" s="1">
        <v>1</v>
      </c>
      <c r="K965" s="1" t="s">
        <v>84</v>
      </c>
      <c r="L965" s="1" t="s">
        <v>85</v>
      </c>
      <c r="M965" s="1" t="s">
        <v>71</v>
      </c>
      <c r="N965" s="1" t="s">
        <v>72</v>
      </c>
      <c r="O965" s="1" t="s">
        <v>64</v>
      </c>
      <c r="P965" s="1" t="s">
        <v>73</v>
      </c>
      <c r="R965" s="93">
        <v>43188</v>
      </c>
      <c r="S965" s="93" t="s">
        <v>2764</v>
      </c>
    </row>
    <row r="966" spans="1:19">
      <c r="A966" s="92">
        <v>43188</v>
      </c>
      <c r="C966" s="1" t="s">
        <v>56</v>
      </c>
      <c r="E966" s="98" t="s">
        <v>1513</v>
      </c>
      <c r="F966" s="1" t="s">
        <v>1514</v>
      </c>
      <c r="G966" s="1" t="s">
        <v>2610</v>
      </c>
      <c r="H966" s="1">
        <v>1</v>
      </c>
      <c r="I966" s="1" t="s">
        <v>1512</v>
      </c>
      <c r="J966" s="1">
        <v>1</v>
      </c>
      <c r="K966" s="1" t="s">
        <v>215</v>
      </c>
      <c r="L966" s="1" t="s">
        <v>216</v>
      </c>
      <c r="M966" s="1" t="s">
        <v>52</v>
      </c>
      <c r="N966" s="1" t="s">
        <v>63</v>
      </c>
      <c r="O966" s="1" t="s">
        <v>64</v>
      </c>
      <c r="P966" s="1" t="s">
        <v>111</v>
      </c>
      <c r="R966" s="93">
        <v>43188</v>
      </c>
      <c r="S966" s="93" t="s">
        <v>2764</v>
      </c>
    </row>
    <row r="967" spans="1:19">
      <c r="A967" s="92">
        <v>43188</v>
      </c>
      <c r="C967" s="1" t="s">
        <v>66</v>
      </c>
      <c r="E967" s="98" t="s">
        <v>1515</v>
      </c>
      <c r="F967" s="1" t="s">
        <v>1516</v>
      </c>
      <c r="G967" s="1" t="s">
        <v>2611</v>
      </c>
      <c r="H967" s="1">
        <v>2</v>
      </c>
      <c r="I967" s="1" t="s">
        <v>1512</v>
      </c>
      <c r="J967" s="1">
        <v>2</v>
      </c>
      <c r="K967" s="1" t="s">
        <v>312</v>
      </c>
      <c r="L967" s="1" t="s">
        <v>117</v>
      </c>
      <c r="M967" s="1" t="s">
        <v>2661</v>
      </c>
      <c r="N967" s="1" t="s">
        <v>72</v>
      </c>
      <c r="O967" s="1" t="s">
        <v>64</v>
      </c>
      <c r="P967" s="1" t="s">
        <v>53</v>
      </c>
      <c r="R967" s="93">
        <v>43188</v>
      </c>
      <c r="S967" s="93" t="s">
        <v>2764</v>
      </c>
    </row>
    <row r="968" spans="1:19">
      <c r="A968" s="92">
        <v>43188</v>
      </c>
      <c r="C968" s="1" t="s">
        <v>56</v>
      </c>
      <c r="E968" s="98" t="s">
        <v>1517</v>
      </c>
      <c r="F968" s="1" t="s">
        <v>1518</v>
      </c>
      <c r="G968" s="1" t="s">
        <v>2612</v>
      </c>
      <c r="H968" s="1">
        <v>3.18</v>
      </c>
      <c r="I968" s="1" t="s">
        <v>1512</v>
      </c>
      <c r="J968" s="1">
        <v>3.18</v>
      </c>
      <c r="K968" s="1" t="s">
        <v>584</v>
      </c>
      <c r="L968" s="1" t="s">
        <v>216</v>
      </c>
      <c r="M968" s="1" t="s">
        <v>52</v>
      </c>
      <c r="N968" s="1" t="s">
        <v>63</v>
      </c>
      <c r="O968" s="1" t="s">
        <v>64</v>
      </c>
      <c r="P968" s="1" t="s">
        <v>111</v>
      </c>
      <c r="R968" s="93">
        <v>43188</v>
      </c>
      <c r="S968" s="93" t="s">
        <v>2764</v>
      </c>
    </row>
    <row r="969" spans="1:19">
      <c r="A969" s="92">
        <v>43188</v>
      </c>
      <c r="C969" s="1" t="s">
        <v>56</v>
      </c>
      <c r="E969" s="98" t="s">
        <v>1521</v>
      </c>
      <c r="F969" s="1" t="s">
        <v>1522</v>
      </c>
      <c r="G969" s="1" t="s">
        <v>2613</v>
      </c>
      <c r="H969" s="1">
        <v>1</v>
      </c>
      <c r="I969" s="1" t="s">
        <v>1512</v>
      </c>
      <c r="J969" s="1">
        <v>1</v>
      </c>
      <c r="K969" s="1" t="s">
        <v>172</v>
      </c>
      <c r="L969" s="1" t="s">
        <v>131</v>
      </c>
      <c r="M969" s="1" t="s">
        <v>132</v>
      </c>
      <c r="N969" s="1" t="s">
        <v>72</v>
      </c>
      <c r="O969" s="1" t="s">
        <v>64</v>
      </c>
      <c r="P969" s="1" t="s">
        <v>133</v>
      </c>
      <c r="R969" s="93">
        <v>43188</v>
      </c>
      <c r="S969" s="93" t="s">
        <v>2764</v>
      </c>
    </row>
    <row r="970" spans="1:19">
      <c r="A970" s="92">
        <v>43188</v>
      </c>
      <c r="C970" s="1" t="s">
        <v>56</v>
      </c>
      <c r="E970" s="98" t="s">
        <v>1268</v>
      </c>
      <c r="F970" s="1" t="s">
        <v>1269</v>
      </c>
      <c r="G970" s="1" t="s">
        <v>2513</v>
      </c>
      <c r="H970" s="1">
        <v>12.43</v>
      </c>
      <c r="I970" s="1" t="s">
        <v>1512</v>
      </c>
      <c r="J970" s="1">
        <v>12.43</v>
      </c>
      <c r="K970" s="1" t="s">
        <v>403</v>
      </c>
      <c r="L970" s="1" t="s">
        <v>216</v>
      </c>
      <c r="M970" s="1" t="s">
        <v>52</v>
      </c>
      <c r="N970" s="1" t="s">
        <v>63</v>
      </c>
      <c r="O970" s="1" t="s">
        <v>64</v>
      </c>
      <c r="P970" s="1" t="s">
        <v>111</v>
      </c>
      <c r="R970" s="93">
        <v>43188</v>
      </c>
      <c r="S970" s="93" t="s">
        <v>2764</v>
      </c>
    </row>
    <row r="971" spans="1:19">
      <c r="A971" s="92">
        <v>43188</v>
      </c>
      <c r="C971" s="1" t="s">
        <v>56</v>
      </c>
      <c r="E971" s="98" t="s">
        <v>1502</v>
      </c>
      <c r="F971" s="1" t="s">
        <v>1503</v>
      </c>
      <c r="G971" s="1" t="s">
        <v>2606</v>
      </c>
      <c r="H971" s="1">
        <v>4.8</v>
      </c>
      <c r="I971" s="1" t="s">
        <v>1512</v>
      </c>
      <c r="J971" s="1">
        <v>4.8</v>
      </c>
      <c r="K971" s="1" t="s">
        <v>239</v>
      </c>
      <c r="L971" s="1" t="s">
        <v>150</v>
      </c>
      <c r="M971" s="1" t="s">
        <v>132</v>
      </c>
      <c r="N971" s="1" t="s">
        <v>72</v>
      </c>
      <c r="O971" s="1" t="s">
        <v>64</v>
      </c>
      <c r="P971" s="1" t="s">
        <v>133</v>
      </c>
      <c r="R971" s="93">
        <v>43188</v>
      </c>
      <c r="S971" s="93" t="s">
        <v>2764</v>
      </c>
    </row>
    <row r="972" spans="1:19">
      <c r="A972" s="92">
        <v>43188</v>
      </c>
      <c r="C972" s="1" t="s">
        <v>56</v>
      </c>
      <c r="E972" s="98" t="s">
        <v>1502</v>
      </c>
      <c r="F972" s="1" t="s">
        <v>1503</v>
      </c>
      <c r="G972" s="1" t="s">
        <v>2606</v>
      </c>
      <c r="H972" s="1">
        <v>0.1</v>
      </c>
      <c r="I972" s="1" t="s">
        <v>1512</v>
      </c>
      <c r="J972" s="1">
        <v>0.1</v>
      </c>
      <c r="K972" s="1" t="s">
        <v>239</v>
      </c>
      <c r="L972" s="1" t="s">
        <v>150</v>
      </c>
      <c r="M972" s="1" t="s">
        <v>132</v>
      </c>
      <c r="N972" s="1" t="s">
        <v>72</v>
      </c>
      <c r="O972" s="1" t="s">
        <v>64</v>
      </c>
      <c r="P972" s="1" t="s">
        <v>133</v>
      </c>
      <c r="R972" s="93">
        <v>43188</v>
      </c>
      <c r="S972" s="93" t="s">
        <v>2764</v>
      </c>
    </row>
    <row r="973" spans="1:19">
      <c r="A973" s="92">
        <v>43188</v>
      </c>
      <c r="C973" s="1" t="s">
        <v>66</v>
      </c>
      <c r="E973" s="98" t="s">
        <v>1523</v>
      </c>
      <c r="F973" s="1" t="s">
        <v>1524</v>
      </c>
      <c r="G973" s="1" t="s">
        <v>2614</v>
      </c>
      <c r="H973" s="1">
        <v>5</v>
      </c>
      <c r="I973" s="1" t="s">
        <v>1512</v>
      </c>
      <c r="J973" s="1">
        <v>5</v>
      </c>
      <c r="K973" s="1" t="s">
        <v>234</v>
      </c>
      <c r="L973" s="1" t="s">
        <v>131</v>
      </c>
      <c r="M973" s="1" t="s">
        <v>132</v>
      </c>
      <c r="N973" s="1" t="s">
        <v>72</v>
      </c>
      <c r="O973" s="1" t="s">
        <v>64</v>
      </c>
      <c r="P973" s="1" t="s">
        <v>133</v>
      </c>
      <c r="R973" s="93">
        <v>43188</v>
      </c>
      <c r="S973" s="93" t="s">
        <v>2764</v>
      </c>
    </row>
    <row r="974" spans="1:19">
      <c r="A974" s="92">
        <v>43188</v>
      </c>
      <c r="C974" s="1" t="s">
        <v>56</v>
      </c>
      <c r="E974" s="98" t="s">
        <v>1525</v>
      </c>
      <c r="F974" s="1" t="s">
        <v>437</v>
      </c>
      <c r="G974" s="1" t="s">
        <v>2615</v>
      </c>
      <c r="H974" s="1">
        <v>1</v>
      </c>
      <c r="I974" s="1" t="s">
        <v>1512</v>
      </c>
      <c r="J974" s="1">
        <v>1</v>
      </c>
      <c r="K974" s="1" t="s">
        <v>437</v>
      </c>
      <c r="L974" s="1" t="s">
        <v>105</v>
      </c>
      <c r="M974" s="1" t="s">
        <v>62</v>
      </c>
      <c r="N974" s="1" t="s">
        <v>63</v>
      </c>
      <c r="O974" s="1" t="s">
        <v>64</v>
      </c>
      <c r="P974" s="1" t="s">
        <v>65</v>
      </c>
      <c r="R974" s="93">
        <v>43188</v>
      </c>
      <c r="S974" s="93" t="s">
        <v>2764</v>
      </c>
    </row>
    <row r="975" spans="1:19">
      <c r="A975" s="92">
        <v>43188</v>
      </c>
      <c r="C975" s="1" t="s">
        <v>56</v>
      </c>
      <c r="E975" s="98" t="s">
        <v>1526</v>
      </c>
      <c r="F975" s="1" t="s">
        <v>1527</v>
      </c>
      <c r="G975" s="1" t="s">
        <v>2616</v>
      </c>
      <c r="H975" s="1">
        <v>0.8</v>
      </c>
      <c r="I975" s="1" t="s">
        <v>1512</v>
      </c>
      <c r="J975" s="1">
        <v>0.8</v>
      </c>
      <c r="K975" s="1" t="s">
        <v>167</v>
      </c>
      <c r="L975" s="1" t="s">
        <v>117</v>
      </c>
      <c r="M975" s="1" t="s">
        <v>2661</v>
      </c>
      <c r="N975" s="1" t="s">
        <v>72</v>
      </c>
      <c r="O975" s="1" t="s">
        <v>64</v>
      </c>
      <c r="P975" s="1" t="s">
        <v>53</v>
      </c>
      <c r="R975" s="93">
        <v>43188</v>
      </c>
      <c r="S975" s="93" t="s">
        <v>2764</v>
      </c>
    </row>
    <row r="976" spans="1:19">
      <c r="A976" s="92">
        <v>43188</v>
      </c>
      <c r="C976" s="1" t="s">
        <v>56</v>
      </c>
      <c r="E976" s="98" t="s">
        <v>1528</v>
      </c>
      <c r="F976" s="1" t="s">
        <v>1529</v>
      </c>
      <c r="G976" s="1" t="s">
        <v>2617</v>
      </c>
      <c r="H976" s="1">
        <v>3</v>
      </c>
      <c r="I976" s="1" t="s">
        <v>1512</v>
      </c>
      <c r="J976" s="1">
        <v>3</v>
      </c>
      <c r="K976" s="1" t="s">
        <v>1233</v>
      </c>
      <c r="L976" s="1" t="s">
        <v>110</v>
      </c>
      <c r="M976" s="1" t="s">
        <v>52</v>
      </c>
      <c r="N976" s="1" t="s">
        <v>63</v>
      </c>
      <c r="O976" s="1" t="s">
        <v>64</v>
      </c>
      <c r="P976" s="1" t="s">
        <v>111</v>
      </c>
      <c r="R976" s="93">
        <v>43188</v>
      </c>
      <c r="S976" s="93" t="s">
        <v>2764</v>
      </c>
    </row>
    <row r="977" spans="1:19">
      <c r="A977" s="92">
        <v>43188</v>
      </c>
      <c r="C977" s="1" t="s">
        <v>56</v>
      </c>
      <c r="E977" s="98" t="s">
        <v>331</v>
      </c>
      <c r="F977" s="1" t="s">
        <v>332</v>
      </c>
      <c r="G977" s="1" t="s">
        <v>2161</v>
      </c>
      <c r="H977" s="1">
        <v>1.5</v>
      </c>
      <c r="I977" s="1" t="s">
        <v>1512</v>
      </c>
      <c r="J977" s="1">
        <v>1.5</v>
      </c>
      <c r="K977" s="1" t="s">
        <v>239</v>
      </c>
      <c r="L977" s="1" t="s">
        <v>150</v>
      </c>
      <c r="M977" s="1" t="s">
        <v>132</v>
      </c>
      <c r="N977" s="1" t="s">
        <v>72</v>
      </c>
      <c r="O977" s="1" t="s">
        <v>64</v>
      </c>
      <c r="P977" s="1" t="s">
        <v>133</v>
      </c>
      <c r="R977" s="93">
        <v>43188</v>
      </c>
      <c r="S977" s="93" t="s">
        <v>2764</v>
      </c>
    </row>
    <row r="978" spans="1:19">
      <c r="A978" s="92">
        <v>43188</v>
      </c>
      <c r="C978" s="1" t="s">
        <v>56</v>
      </c>
      <c r="E978" s="98" t="s">
        <v>1440</v>
      </c>
      <c r="F978" s="1" t="s">
        <v>1441</v>
      </c>
      <c r="G978" s="1" t="s">
        <v>2584</v>
      </c>
      <c r="H978" s="1">
        <v>0.6</v>
      </c>
      <c r="I978" s="1" t="s">
        <v>1512</v>
      </c>
      <c r="J978" s="1">
        <v>0.6</v>
      </c>
      <c r="K978" s="1" t="s">
        <v>277</v>
      </c>
      <c r="L978" s="1" t="s">
        <v>269</v>
      </c>
      <c r="M978" s="1" t="s">
        <v>132</v>
      </c>
      <c r="N978" s="1" t="s">
        <v>72</v>
      </c>
      <c r="O978" s="1" t="s">
        <v>64</v>
      </c>
      <c r="P978" s="1" t="s">
        <v>133</v>
      </c>
      <c r="R978" s="93">
        <v>43188</v>
      </c>
      <c r="S978" s="93" t="s">
        <v>2764</v>
      </c>
    </row>
    <row r="979" spans="1:19">
      <c r="A979" s="92">
        <v>43189</v>
      </c>
      <c r="C979" s="1" t="s">
        <v>56</v>
      </c>
      <c r="E979" s="98" t="s">
        <v>880</v>
      </c>
      <c r="F979" s="1" t="s">
        <v>881</v>
      </c>
      <c r="G979" s="1" t="s">
        <v>2369</v>
      </c>
      <c r="H979" s="1">
        <v>1.1065209999999999</v>
      </c>
      <c r="I979" s="1" t="s">
        <v>1512</v>
      </c>
      <c r="J979" s="1">
        <v>1.1065209999999999</v>
      </c>
      <c r="K979" s="1" t="s">
        <v>215</v>
      </c>
      <c r="L979" s="1" t="s">
        <v>216</v>
      </c>
      <c r="M979" s="1" t="s">
        <v>52</v>
      </c>
      <c r="N979" s="1" t="s">
        <v>63</v>
      </c>
      <c r="O979" s="1" t="s">
        <v>64</v>
      </c>
      <c r="P979" s="1" t="s">
        <v>111</v>
      </c>
      <c r="R979" s="93">
        <v>43189</v>
      </c>
      <c r="S979" s="93" t="s">
        <v>2764</v>
      </c>
    </row>
    <row r="980" spans="1:19">
      <c r="A980" s="92">
        <v>43189</v>
      </c>
      <c r="C980" s="1" t="s">
        <v>56</v>
      </c>
      <c r="E980" s="98" t="s">
        <v>929</v>
      </c>
      <c r="F980" s="1" t="s">
        <v>930</v>
      </c>
      <c r="G980" s="1" t="s">
        <v>2389</v>
      </c>
      <c r="H980" s="1">
        <v>1</v>
      </c>
      <c r="I980" s="1" t="s">
        <v>1512</v>
      </c>
      <c r="J980" s="1">
        <v>1</v>
      </c>
      <c r="K980" s="1" t="s">
        <v>269</v>
      </c>
      <c r="L980" s="1" t="s">
        <v>269</v>
      </c>
      <c r="M980" s="1" t="s">
        <v>132</v>
      </c>
      <c r="N980" s="1" t="s">
        <v>72</v>
      </c>
      <c r="O980" s="1" t="s">
        <v>64</v>
      </c>
      <c r="P980" s="1" t="s">
        <v>133</v>
      </c>
      <c r="R980" s="93">
        <v>43189</v>
      </c>
      <c r="S980" s="93" t="s">
        <v>2764</v>
      </c>
    </row>
    <row r="981" spans="1:19">
      <c r="A981" s="92">
        <v>43189</v>
      </c>
      <c r="C981" s="1" t="s">
        <v>66</v>
      </c>
      <c r="E981" s="98" t="s">
        <v>115</v>
      </c>
      <c r="F981" s="1" t="s">
        <v>116</v>
      </c>
      <c r="G981" s="1" t="s">
        <v>2092</v>
      </c>
      <c r="H981" s="1">
        <v>5</v>
      </c>
      <c r="I981" s="1" t="s">
        <v>1512</v>
      </c>
      <c r="J981" s="1">
        <v>5</v>
      </c>
      <c r="K981" s="1" t="s">
        <v>116</v>
      </c>
      <c r="L981" s="1" t="s">
        <v>117</v>
      </c>
      <c r="M981" s="1" t="s">
        <v>2661</v>
      </c>
      <c r="N981" s="1" t="s">
        <v>72</v>
      </c>
      <c r="O981" s="1" t="s">
        <v>64</v>
      </c>
      <c r="P981" s="1" t="s">
        <v>53</v>
      </c>
      <c r="R981" s="93">
        <v>43189</v>
      </c>
      <c r="S981" s="93" t="s">
        <v>2764</v>
      </c>
    </row>
    <row r="982" spans="1:19">
      <c r="A982" s="92">
        <v>43189</v>
      </c>
      <c r="C982" s="1" t="s">
        <v>56</v>
      </c>
      <c r="E982" s="98" t="s">
        <v>1530</v>
      </c>
      <c r="F982" s="1" t="s">
        <v>1531</v>
      </c>
      <c r="G982" s="1" t="s">
        <v>2618</v>
      </c>
      <c r="H982" s="1">
        <v>5.07</v>
      </c>
      <c r="I982" s="1" t="s">
        <v>1512</v>
      </c>
      <c r="J982" s="1">
        <v>5.07</v>
      </c>
      <c r="K982" s="1" t="s">
        <v>312</v>
      </c>
      <c r="L982" s="1" t="s">
        <v>117</v>
      </c>
      <c r="M982" s="1" t="s">
        <v>2661</v>
      </c>
      <c r="N982" s="1" t="s">
        <v>72</v>
      </c>
      <c r="O982" s="1" t="s">
        <v>64</v>
      </c>
      <c r="P982" s="1" t="s">
        <v>53</v>
      </c>
      <c r="R982" s="93">
        <v>43189</v>
      </c>
      <c r="S982" s="93" t="s">
        <v>2764</v>
      </c>
    </row>
    <row r="983" spans="1:19">
      <c r="A983" s="92">
        <v>43188</v>
      </c>
      <c r="C983" s="1" t="s">
        <v>56</v>
      </c>
      <c r="E983" s="98" t="s">
        <v>1532</v>
      </c>
      <c r="F983" s="1" t="s">
        <v>1533</v>
      </c>
      <c r="G983" s="1" t="s">
        <v>2619</v>
      </c>
      <c r="H983" s="1">
        <v>10</v>
      </c>
      <c r="I983" s="1" t="s">
        <v>1534</v>
      </c>
      <c r="J983" s="1">
        <v>6</v>
      </c>
      <c r="K983" s="1" t="s">
        <v>312</v>
      </c>
      <c r="L983" s="1" t="s">
        <v>117</v>
      </c>
      <c r="M983" s="1" t="s">
        <v>2661</v>
      </c>
      <c r="N983" s="1" t="s">
        <v>72</v>
      </c>
      <c r="O983" s="1" t="s">
        <v>64</v>
      </c>
      <c r="P983" s="1" t="s">
        <v>53</v>
      </c>
      <c r="R983" s="93">
        <v>43188</v>
      </c>
      <c r="S983" s="93" t="s">
        <v>2765</v>
      </c>
    </row>
    <row r="984" spans="1:19">
      <c r="A984" s="92">
        <v>43188</v>
      </c>
      <c r="C984" s="1" t="s">
        <v>56</v>
      </c>
      <c r="E984" s="98" t="s">
        <v>1535</v>
      </c>
      <c r="F984" s="1" t="s">
        <v>1536</v>
      </c>
      <c r="G984" s="1" t="s">
        <v>2620</v>
      </c>
      <c r="H984" s="1">
        <v>5</v>
      </c>
      <c r="I984" s="1" t="s">
        <v>1534</v>
      </c>
      <c r="J984" s="1">
        <v>3</v>
      </c>
      <c r="K984" s="1" t="s">
        <v>136</v>
      </c>
      <c r="L984" s="1" t="s">
        <v>85</v>
      </c>
      <c r="M984" s="1" t="s">
        <v>71</v>
      </c>
      <c r="N984" s="1" t="s">
        <v>72</v>
      </c>
      <c r="O984" s="1" t="s">
        <v>64</v>
      </c>
      <c r="P984" s="1" t="s">
        <v>73</v>
      </c>
      <c r="R984" s="93">
        <v>43188</v>
      </c>
      <c r="S984" s="93" t="s">
        <v>2765</v>
      </c>
    </row>
    <row r="985" spans="1:19">
      <c r="A985" s="92">
        <v>43188</v>
      </c>
      <c r="C985" s="1" t="s">
        <v>56</v>
      </c>
      <c r="E985" s="98" t="s">
        <v>194</v>
      </c>
      <c r="F985" s="1" t="s">
        <v>195</v>
      </c>
      <c r="G985" s="1" t="s">
        <v>2113</v>
      </c>
      <c r="H985" s="1">
        <v>5.0999999999999996</v>
      </c>
      <c r="I985" s="1" t="s">
        <v>1534</v>
      </c>
      <c r="J985" s="1">
        <v>3.06</v>
      </c>
      <c r="K985" s="1" t="s">
        <v>150</v>
      </c>
      <c r="L985" s="1" t="s">
        <v>150</v>
      </c>
      <c r="M985" s="1" t="s">
        <v>132</v>
      </c>
      <c r="N985" s="1" t="s">
        <v>72</v>
      </c>
      <c r="O985" s="1" t="s">
        <v>64</v>
      </c>
      <c r="P985" s="1" t="s">
        <v>133</v>
      </c>
      <c r="R985" s="93">
        <v>43188</v>
      </c>
      <c r="S985" s="93" t="s">
        <v>2765</v>
      </c>
    </row>
    <row r="986" spans="1:19">
      <c r="A986" s="92">
        <v>43188</v>
      </c>
      <c r="C986" s="1" t="s">
        <v>66</v>
      </c>
      <c r="E986" s="98" t="s">
        <v>1537</v>
      </c>
      <c r="F986" s="1" t="s">
        <v>1538</v>
      </c>
      <c r="G986" s="1" t="s">
        <v>2621</v>
      </c>
      <c r="H986" s="1">
        <v>5</v>
      </c>
      <c r="I986" s="1" t="s">
        <v>1534</v>
      </c>
      <c r="J986" s="1">
        <v>3</v>
      </c>
      <c r="K986" s="1" t="s">
        <v>601</v>
      </c>
      <c r="L986" s="1" t="s">
        <v>93</v>
      </c>
      <c r="M986" s="1" t="s">
        <v>94</v>
      </c>
      <c r="N986" s="1" t="s">
        <v>72</v>
      </c>
      <c r="O986" s="1" t="s">
        <v>64</v>
      </c>
      <c r="P986" s="1" t="s">
        <v>95</v>
      </c>
      <c r="R986" s="93">
        <v>43188</v>
      </c>
      <c r="S986" s="93" t="s">
        <v>2765</v>
      </c>
    </row>
    <row r="987" spans="1:19">
      <c r="A987" s="92">
        <v>43188</v>
      </c>
      <c r="C987" s="1" t="s">
        <v>56</v>
      </c>
      <c r="E987" s="98" t="s">
        <v>1539</v>
      </c>
      <c r="F987" s="1" t="s">
        <v>1540</v>
      </c>
      <c r="G987" s="1" t="s">
        <v>2622</v>
      </c>
      <c r="H987" s="1">
        <v>1</v>
      </c>
      <c r="I987" s="1" t="s">
        <v>1541</v>
      </c>
      <c r="J987" s="1">
        <v>1</v>
      </c>
      <c r="K987" s="1" t="s">
        <v>93</v>
      </c>
      <c r="L987" s="1" t="s">
        <v>93</v>
      </c>
      <c r="M987" s="1" t="s">
        <v>94</v>
      </c>
      <c r="N987" s="1" t="s">
        <v>72</v>
      </c>
      <c r="O987" s="1" t="s">
        <v>64</v>
      </c>
      <c r="P987" s="1" t="s">
        <v>95</v>
      </c>
      <c r="R987" s="93">
        <v>43188</v>
      </c>
      <c r="S987" s="93" t="s">
        <v>2764</v>
      </c>
    </row>
    <row r="988" spans="1:19">
      <c r="A988" s="92">
        <v>43188</v>
      </c>
      <c r="C988" s="1" t="s">
        <v>56</v>
      </c>
      <c r="E988" s="98" t="s">
        <v>1542</v>
      </c>
      <c r="F988" s="1" t="s">
        <v>1543</v>
      </c>
      <c r="G988" s="1" t="s">
        <v>1982</v>
      </c>
      <c r="H988" s="1">
        <v>1.5</v>
      </c>
      <c r="I988" s="1" t="s">
        <v>1544</v>
      </c>
      <c r="J988" s="1">
        <v>2.25</v>
      </c>
      <c r="K988" s="1" t="s">
        <v>277</v>
      </c>
      <c r="L988" s="1" t="s">
        <v>269</v>
      </c>
      <c r="M988" s="1" t="s">
        <v>132</v>
      </c>
      <c r="N988" s="1" t="s">
        <v>72</v>
      </c>
      <c r="O988" s="1" t="s">
        <v>64</v>
      </c>
      <c r="P988" s="1" t="s">
        <v>133</v>
      </c>
      <c r="R988" s="93">
        <v>43188</v>
      </c>
      <c r="S988" s="93" t="s">
        <v>2766</v>
      </c>
    </row>
    <row r="989" spans="1:19">
      <c r="A989" s="92">
        <v>43188</v>
      </c>
      <c r="C989" s="1" t="s">
        <v>66</v>
      </c>
      <c r="E989" s="98" t="s">
        <v>1546</v>
      </c>
      <c r="F989" s="1" t="s">
        <v>1547</v>
      </c>
      <c r="G989" s="1" t="s">
        <v>2623</v>
      </c>
      <c r="H989" s="1">
        <v>5</v>
      </c>
      <c r="I989" s="1" t="s">
        <v>1545</v>
      </c>
      <c r="J989" s="1">
        <v>1.5</v>
      </c>
      <c r="K989" s="1" t="s">
        <v>150</v>
      </c>
      <c r="L989" s="1" t="s">
        <v>150</v>
      </c>
      <c r="M989" s="1" t="s">
        <v>132</v>
      </c>
      <c r="N989" s="1" t="s">
        <v>72</v>
      </c>
      <c r="O989" s="1" t="s">
        <v>64</v>
      </c>
      <c r="P989" s="1" t="s">
        <v>133</v>
      </c>
      <c r="R989" s="93">
        <v>43188</v>
      </c>
      <c r="S989" s="93" t="s">
        <v>2767</v>
      </c>
    </row>
    <row r="990" spans="1:19">
      <c r="A990" s="92">
        <v>43188</v>
      </c>
      <c r="C990" s="1" t="s">
        <v>56</v>
      </c>
      <c r="E990" s="98" t="s">
        <v>1548</v>
      </c>
      <c r="F990" s="1" t="s">
        <v>1549</v>
      </c>
      <c r="G990" s="1" t="s">
        <v>2624</v>
      </c>
      <c r="H990" s="1">
        <v>0.05</v>
      </c>
      <c r="I990" s="1" t="s">
        <v>1545</v>
      </c>
      <c r="J990" s="1">
        <v>1.4999999999999999E-2</v>
      </c>
      <c r="K990" s="1" t="s">
        <v>1549</v>
      </c>
      <c r="L990" s="1" t="s">
        <v>269</v>
      </c>
      <c r="M990" s="1" t="s">
        <v>132</v>
      </c>
      <c r="N990" s="1" t="s">
        <v>72</v>
      </c>
      <c r="O990" s="1" t="s">
        <v>64</v>
      </c>
      <c r="P990" s="1" t="s">
        <v>133</v>
      </c>
      <c r="R990" s="93">
        <v>43188</v>
      </c>
      <c r="S990" s="93" t="s">
        <v>2767</v>
      </c>
    </row>
    <row r="991" spans="1:19">
      <c r="A991" s="92">
        <v>43188</v>
      </c>
      <c r="C991" s="1" t="s">
        <v>56</v>
      </c>
      <c r="E991" s="98" t="s">
        <v>1550</v>
      </c>
      <c r="F991" s="1" t="s">
        <v>443</v>
      </c>
      <c r="G991" s="1" t="s">
        <v>2625</v>
      </c>
      <c r="H991" s="1">
        <v>0.1</v>
      </c>
      <c r="I991" s="1" t="s">
        <v>1545</v>
      </c>
      <c r="J991" s="1">
        <v>0.03</v>
      </c>
      <c r="K991" s="1" t="s">
        <v>443</v>
      </c>
      <c r="L991" s="1" t="s">
        <v>269</v>
      </c>
      <c r="M991" s="1" t="s">
        <v>132</v>
      </c>
      <c r="N991" s="1" t="s">
        <v>72</v>
      </c>
      <c r="O991" s="1" t="s">
        <v>64</v>
      </c>
      <c r="P991" s="1" t="s">
        <v>133</v>
      </c>
      <c r="R991" s="93">
        <v>43188</v>
      </c>
      <c r="S991" s="93" t="s">
        <v>2767</v>
      </c>
    </row>
    <row r="992" spans="1:19">
      <c r="A992" s="92">
        <v>43188</v>
      </c>
      <c r="C992" s="1" t="s">
        <v>56</v>
      </c>
      <c r="E992" s="98" t="s">
        <v>382</v>
      </c>
      <c r="F992" s="1" t="s">
        <v>150</v>
      </c>
      <c r="G992" s="1" t="s">
        <v>2179</v>
      </c>
      <c r="H992" s="1">
        <v>5</v>
      </c>
      <c r="I992" s="1" t="s">
        <v>1545</v>
      </c>
      <c r="J992" s="1">
        <v>1.5</v>
      </c>
      <c r="K992" s="1" t="s">
        <v>150</v>
      </c>
      <c r="L992" s="1" t="s">
        <v>150</v>
      </c>
      <c r="M992" s="1" t="s">
        <v>132</v>
      </c>
      <c r="N992" s="1" t="s">
        <v>72</v>
      </c>
      <c r="O992" s="1" t="s">
        <v>64</v>
      </c>
      <c r="P992" s="1" t="s">
        <v>133</v>
      </c>
      <c r="R992" s="93">
        <v>43188</v>
      </c>
      <c r="S992" s="93" t="s">
        <v>2767</v>
      </c>
    </row>
    <row r="993" spans="1:19">
      <c r="A993" s="92">
        <v>43188</v>
      </c>
      <c r="C993" s="1" t="s">
        <v>66</v>
      </c>
      <c r="E993" s="98" t="s">
        <v>1396</v>
      </c>
      <c r="F993" s="1" t="s">
        <v>1397</v>
      </c>
      <c r="G993" s="1" t="s">
        <v>2566</v>
      </c>
      <c r="H993" s="1">
        <v>5</v>
      </c>
      <c r="I993" s="1" t="s">
        <v>1545</v>
      </c>
      <c r="J993" s="1">
        <v>1.5</v>
      </c>
      <c r="K993" s="1" t="s">
        <v>136</v>
      </c>
      <c r="L993" s="1" t="s">
        <v>85</v>
      </c>
      <c r="M993" s="1" t="s">
        <v>71</v>
      </c>
      <c r="N993" s="1" t="s">
        <v>72</v>
      </c>
      <c r="O993" s="1" t="s">
        <v>64</v>
      </c>
      <c r="P993" s="1" t="s">
        <v>73</v>
      </c>
      <c r="R993" s="93">
        <v>43188</v>
      </c>
      <c r="S993" s="93" t="s">
        <v>2767</v>
      </c>
    </row>
    <row r="994" spans="1:19">
      <c r="A994" s="92">
        <v>43188</v>
      </c>
      <c r="C994" s="1" t="s">
        <v>56</v>
      </c>
      <c r="E994" s="98" t="s">
        <v>1553</v>
      </c>
      <c r="F994" s="1" t="s">
        <v>1554</v>
      </c>
      <c r="G994" s="1" t="s">
        <v>2626</v>
      </c>
      <c r="H994" s="1">
        <v>0.01</v>
      </c>
      <c r="I994" s="1" t="s">
        <v>1545</v>
      </c>
      <c r="J994" s="1">
        <v>3.0000000000000001E-3</v>
      </c>
      <c r="K994" s="1" t="s">
        <v>192</v>
      </c>
      <c r="L994" s="1" t="s">
        <v>193</v>
      </c>
      <c r="M994" s="1" t="s">
        <v>62</v>
      </c>
      <c r="N994" s="1" t="s">
        <v>63</v>
      </c>
      <c r="O994" s="1" t="s">
        <v>64</v>
      </c>
      <c r="P994" s="1" t="s">
        <v>65</v>
      </c>
      <c r="R994" s="93">
        <v>43188</v>
      </c>
      <c r="S994" s="93" t="s">
        <v>2767</v>
      </c>
    </row>
    <row r="995" spans="1:19">
      <c r="A995" s="92">
        <v>43188</v>
      </c>
      <c r="C995" s="1" t="s">
        <v>66</v>
      </c>
      <c r="E995" s="98" t="s">
        <v>1355</v>
      </c>
      <c r="F995" s="1" t="s">
        <v>1356</v>
      </c>
      <c r="G995" s="1" t="s">
        <v>2550</v>
      </c>
      <c r="H995" s="1">
        <v>2</v>
      </c>
      <c r="I995" s="1" t="s">
        <v>1545</v>
      </c>
      <c r="J995" s="1">
        <v>0.6</v>
      </c>
      <c r="K995" s="1" t="s">
        <v>89</v>
      </c>
      <c r="L995" s="1" t="s">
        <v>70</v>
      </c>
      <c r="M995" s="1" t="s">
        <v>71</v>
      </c>
      <c r="N995" s="1" t="s">
        <v>72</v>
      </c>
      <c r="O995" s="1" t="s">
        <v>64</v>
      </c>
      <c r="P995" s="1" t="s">
        <v>73</v>
      </c>
      <c r="R995" s="93">
        <v>43188</v>
      </c>
      <c r="S995" s="93" t="s">
        <v>2767</v>
      </c>
    </row>
    <row r="996" spans="1:19">
      <c r="A996" s="92">
        <v>43189</v>
      </c>
      <c r="C996" s="1" t="s">
        <v>56</v>
      </c>
      <c r="E996" s="98" t="s">
        <v>382</v>
      </c>
      <c r="F996" s="1" t="s">
        <v>150</v>
      </c>
      <c r="G996" s="1" t="s">
        <v>2179</v>
      </c>
      <c r="H996" s="1">
        <v>5</v>
      </c>
      <c r="I996" s="1" t="s">
        <v>1545</v>
      </c>
      <c r="J996" s="1">
        <v>1.5</v>
      </c>
      <c r="K996" s="1" t="s">
        <v>150</v>
      </c>
      <c r="L996" s="1" t="s">
        <v>150</v>
      </c>
      <c r="M996" s="1" t="s">
        <v>132</v>
      </c>
      <c r="N996" s="1" t="s">
        <v>72</v>
      </c>
      <c r="O996" s="1" t="s">
        <v>64</v>
      </c>
      <c r="P996" s="1" t="s">
        <v>133</v>
      </c>
      <c r="R996" s="93">
        <v>43189</v>
      </c>
      <c r="S996" s="93" t="s">
        <v>2767</v>
      </c>
    </row>
    <row r="997" spans="1:19">
      <c r="A997" s="92">
        <v>43189</v>
      </c>
      <c r="C997" s="1" t="s">
        <v>56</v>
      </c>
      <c r="E997" s="98" t="s">
        <v>539</v>
      </c>
      <c r="F997" s="1" t="s">
        <v>540</v>
      </c>
      <c r="G997" s="1" t="s">
        <v>2235</v>
      </c>
      <c r="H997" s="1">
        <v>20</v>
      </c>
      <c r="I997" s="1" t="s">
        <v>1545</v>
      </c>
      <c r="J997" s="1">
        <v>6</v>
      </c>
      <c r="K997" s="1" t="s">
        <v>242</v>
      </c>
      <c r="L997" s="1" t="s">
        <v>93</v>
      </c>
      <c r="M997" s="1" t="s">
        <v>94</v>
      </c>
      <c r="N997" s="1" t="s">
        <v>72</v>
      </c>
      <c r="O997" s="1" t="s">
        <v>64</v>
      </c>
      <c r="P997" s="1" t="s">
        <v>95</v>
      </c>
      <c r="R997" s="93">
        <v>43189</v>
      </c>
      <c r="S997" s="93" t="s">
        <v>2767</v>
      </c>
    </row>
    <row r="998" spans="1:19">
      <c r="A998" s="92">
        <v>43189</v>
      </c>
      <c r="C998" s="1" t="s">
        <v>56</v>
      </c>
      <c r="E998" s="98" t="s">
        <v>513</v>
      </c>
      <c r="F998" s="1" t="s">
        <v>514</v>
      </c>
      <c r="G998" s="1" t="s">
        <v>2228</v>
      </c>
      <c r="H998" s="1">
        <v>0.02</v>
      </c>
      <c r="I998" s="1" t="s">
        <v>1555</v>
      </c>
      <c r="J998" s="1">
        <v>6.0000000000000001E-3</v>
      </c>
      <c r="K998" s="1" t="s">
        <v>172</v>
      </c>
      <c r="L998" s="1" t="s">
        <v>131</v>
      </c>
      <c r="M998" s="1" t="s">
        <v>132</v>
      </c>
      <c r="N998" s="1" t="s">
        <v>72</v>
      </c>
      <c r="O998" s="1" t="s">
        <v>64</v>
      </c>
      <c r="P998" s="1" t="s">
        <v>133</v>
      </c>
      <c r="R998" s="93">
        <v>43189</v>
      </c>
      <c r="S998" s="93" t="s">
        <v>2768</v>
      </c>
    </row>
    <row r="999" spans="1:19">
      <c r="A999" s="92">
        <v>43189</v>
      </c>
      <c r="C999" s="1" t="s">
        <v>56</v>
      </c>
      <c r="E999" s="98" t="s">
        <v>1558</v>
      </c>
      <c r="F999" s="1" t="s">
        <v>1559</v>
      </c>
      <c r="G999" s="1" t="s">
        <v>2627</v>
      </c>
      <c r="H999" s="1">
        <v>0.1</v>
      </c>
      <c r="I999" s="1" t="s">
        <v>1555</v>
      </c>
      <c r="J999" s="1">
        <v>0.03</v>
      </c>
      <c r="K999" s="1" t="s">
        <v>416</v>
      </c>
      <c r="L999" s="1" t="s">
        <v>193</v>
      </c>
      <c r="M999" s="1" t="s">
        <v>62</v>
      </c>
      <c r="N999" s="1" t="s">
        <v>63</v>
      </c>
      <c r="O999" s="1" t="s">
        <v>64</v>
      </c>
      <c r="P999" s="1" t="s">
        <v>65</v>
      </c>
      <c r="R999" s="93">
        <v>43189</v>
      </c>
      <c r="S999" s="93" t="s">
        <v>2768</v>
      </c>
    </row>
    <row r="1000" spans="1:19">
      <c r="A1000" s="92">
        <v>43189</v>
      </c>
      <c r="C1000" s="1" t="s">
        <v>56</v>
      </c>
      <c r="E1000" s="98" t="s">
        <v>1553</v>
      </c>
      <c r="F1000" s="1" t="s">
        <v>1554</v>
      </c>
      <c r="G1000" s="1" t="s">
        <v>2626</v>
      </c>
      <c r="H1000" s="1">
        <v>8</v>
      </c>
      <c r="I1000" s="1" t="s">
        <v>1555</v>
      </c>
      <c r="J1000" s="1">
        <v>2.4</v>
      </c>
      <c r="K1000" s="1" t="s">
        <v>192</v>
      </c>
      <c r="L1000" s="1" t="s">
        <v>193</v>
      </c>
      <c r="M1000" s="1" t="s">
        <v>62</v>
      </c>
      <c r="N1000" s="1" t="s">
        <v>63</v>
      </c>
      <c r="O1000" s="1" t="s">
        <v>64</v>
      </c>
      <c r="P1000" s="1" t="s">
        <v>65</v>
      </c>
      <c r="R1000" s="93">
        <v>43189</v>
      </c>
      <c r="S1000" s="93" t="s">
        <v>2768</v>
      </c>
    </row>
    <row r="1001" spans="1:19">
      <c r="A1001" s="92">
        <v>43189</v>
      </c>
      <c r="C1001" s="1" t="s">
        <v>66</v>
      </c>
      <c r="E1001" s="98" t="s">
        <v>1537</v>
      </c>
      <c r="F1001" s="1" t="s">
        <v>1538</v>
      </c>
      <c r="G1001" s="1" t="s">
        <v>2621</v>
      </c>
      <c r="H1001" s="1">
        <v>4</v>
      </c>
      <c r="I1001" s="1" t="s">
        <v>1555</v>
      </c>
      <c r="J1001" s="1">
        <v>1.2</v>
      </c>
      <c r="K1001" s="1" t="s">
        <v>601</v>
      </c>
      <c r="L1001" s="1" t="s">
        <v>93</v>
      </c>
      <c r="M1001" s="1" t="s">
        <v>94</v>
      </c>
      <c r="N1001" s="1" t="s">
        <v>72</v>
      </c>
      <c r="O1001" s="1" t="s">
        <v>64</v>
      </c>
      <c r="P1001" s="1" t="s">
        <v>95</v>
      </c>
      <c r="R1001" s="93">
        <v>43189</v>
      </c>
      <c r="S1001" s="93" t="s">
        <v>2768</v>
      </c>
    </row>
    <row r="1002" spans="1:19">
      <c r="A1002" s="92">
        <v>43189</v>
      </c>
      <c r="C1002" s="1" t="s">
        <v>56</v>
      </c>
      <c r="E1002" s="98" t="s">
        <v>1140</v>
      </c>
      <c r="F1002" s="1" t="s">
        <v>1141</v>
      </c>
      <c r="G1002" s="1" t="s">
        <v>2469</v>
      </c>
      <c r="H1002" s="1">
        <v>0.5</v>
      </c>
      <c r="I1002" s="1" t="s">
        <v>1555</v>
      </c>
      <c r="J1002" s="1">
        <v>0.15</v>
      </c>
      <c r="K1002" s="1" t="s">
        <v>212</v>
      </c>
      <c r="L1002" s="1" t="s">
        <v>150</v>
      </c>
      <c r="M1002" s="1" t="s">
        <v>132</v>
      </c>
      <c r="N1002" s="1" t="s">
        <v>72</v>
      </c>
      <c r="O1002" s="1" t="s">
        <v>64</v>
      </c>
      <c r="P1002" s="1" t="s">
        <v>133</v>
      </c>
      <c r="R1002" s="93">
        <v>43189</v>
      </c>
      <c r="S1002" s="93" t="s">
        <v>2768</v>
      </c>
    </row>
    <row r="1003" spans="1:19">
      <c r="A1003" s="92">
        <v>43189</v>
      </c>
      <c r="C1003" s="1" t="s">
        <v>56</v>
      </c>
      <c r="E1003" s="98" t="s">
        <v>1560</v>
      </c>
      <c r="F1003" s="1" t="s">
        <v>212</v>
      </c>
      <c r="G1003" s="1" t="s">
        <v>2628</v>
      </c>
      <c r="H1003" s="1">
        <v>5</v>
      </c>
      <c r="I1003" s="1" t="s">
        <v>1555</v>
      </c>
      <c r="J1003" s="1">
        <v>1.5</v>
      </c>
      <c r="K1003" s="1" t="s">
        <v>212</v>
      </c>
      <c r="L1003" s="1" t="s">
        <v>150</v>
      </c>
      <c r="M1003" s="1" t="s">
        <v>132</v>
      </c>
      <c r="N1003" s="1" t="s">
        <v>72</v>
      </c>
      <c r="O1003" s="1" t="s">
        <v>64</v>
      </c>
      <c r="P1003" s="1" t="s">
        <v>133</v>
      </c>
      <c r="R1003" s="93">
        <v>43189</v>
      </c>
      <c r="S1003" s="93" t="s">
        <v>2768</v>
      </c>
    </row>
    <row r="1004" spans="1:19">
      <c r="A1004" s="92">
        <v>43189</v>
      </c>
      <c r="C1004" s="1" t="s">
        <v>66</v>
      </c>
      <c r="E1004" s="98" t="s">
        <v>1561</v>
      </c>
      <c r="F1004" s="1" t="s">
        <v>1562</v>
      </c>
      <c r="G1004" s="1" t="s">
        <v>2629</v>
      </c>
      <c r="H1004" s="1">
        <v>5</v>
      </c>
      <c r="I1004" s="1" t="s">
        <v>1555</v>
      </c>
      <c r="J1004" s="1">
        <v>1.5</v>
      </c>
      <c r="K1004" s="1" t="s">
        <v>477</v>
      </c>
      <c r="L1004" s="1" t="s">
        <v>85</v>
      </c>
      <c r="M1004" s="1" t="s">
        <v>71</v>
      </c>
      <c r="N1004" s="1" t="s">
        <v>72</v>
      </c>
      <c r="O1004" s="1" t="s">
        <v>64</v>
      </c>
      <c r="P1004" s="1" t="s">
        <v>73</v>
      </c>
      <c r="R1004" s="93">
        <v>43189</v>
      </c>
      <c r="S1004" s="93" t="s">
        <v>2768</v>
      </c>
    </row>
    <row r="1005" spans="1:19">
      <c r="A1005" s="92">
        <v>43189</v>
      </c>
      <c r="C1005" s="1" t="s">
        <v>56</v>
      </c>
      <c r="E1005" s="98" t="s">
        <v>1563</v>
      </c>
      <c r="F1005" s="1" t="s">
        <v>1564</v>
      </c>
      <c r="G1005" s="1" t="s">
        <v>2630</v>
      </c>
      <c r="H1005" s="1">
        <v>5</v>
      </c>
      <c r="I1005" s="1" t="s">
        <v>1555</v>
      </c>
      <c r="J1005" s="1">
        <v>1.5</v>
      </c>
      <c r="K1005" s="1" t="s">
        <v>461</v>
      </c>
      <c r="L1005" s="1" t="s">
        <v>85</v>
      </c>
      <c r="M1005" s="1" t="s">
        <v>71</v>
      </c>
      <c r="N1005" s="1" t="s">
        <v>72</v>
      </c>
      <c r="O1005" s="1" t="s">
        <v>64</v>
      </c>
      <c r="P1005" s="1" t="s">
        <v>73</v>
      </c>
      <c r="R1005" s="93">
        <v>43189</v>
      </c>
      <c r="S1005" s="93" t="s">
        <v>2768</v>
      </c>
    </row>
    <row r="1006" spans="1:19">
      <c r="A1006" s="92">
        <v>43189</v>
      </c>
      <c r="C1006" s="1" t="s">
        <v>66</v>
      </c>
      <c r="E1006" s="98" t="s">
        <v>1384</v>
      </c>
      <c r="F1006" s="1" t="s">
        <v>685</v>
      </c>
      <c r="G1006" s="1" t="s">
        <v>2561</v>
      </c>
      <c r="H1006" s="1">
        <v>0.1</v>
      </c>
      <c r="I1006" s="1" t="s">
        <v>1555</v>
      </c>
      <c r="J1006" s="1">
        <v>0.03</v>
      </c>
      <c r="K1006" s="1" t="s">
        <v>127</v>
      </c>
      <c r="L1006" s="1" t="s">
        <v>110</v>
      </c>
      <c r="M1006" s="1" t="s">
        <v>52</v>
      </c>
      <c r="N1006" s="1" t="s">
        <v>63</v>
      </c>
      <c r="O1006" s="1" t="s">
        <v>64</v>
      </c>
      <c r="P1006" s="1" t="s">
        <v>111</v>
      </c>
      <c r="R1006" s="93">
        <v>43189</v>
      </c>
      <c r="S1006" s="93" t="s">
        <v>2768</v>
      </c>
    </row>
    <row r="1007" spans="1:19">
      <c r="A1007" s="92">
        <v>43190</v>
      </c>
      <c r="C1007" s="1" t="s">
        <v>66</v>
      </c>
      <c r="E1007" s="98" t="s">
        <v>1546</v>
      </c>
      <c r="F1007" s="1" t="s">
        <v>1547</v>
      </c>
      <c r="G1007" s="1" t="s">
        <v>2623</v>
      </c>
      <c r="H1007" s="1">
        <v>0.8</v>
      </c>
      <c r="I1007" s="1" t="s">
        <v>1555</v>
      </c>
      <c r="J1007" s="1">
        <v>0.24</v>
      </c>
      <c r="K1007" s="1" t="s">
        <v>150</v>
      </c>
      <c r="L1007" s="1" t="s">
        <v>150</v>
      </c>
      <c r="M1007" s="1" t="s">
        <v>132</v>
      </c>
      <c r="N1007" s="1" t="s">
        <v>72</v>
      </c>
      <c r="O1007" s="1" t="s">
        <v>64</v>
      </c>
      <c r="P1007" s="1" t="s">
        <v>133</v>
      </c>
      <c r="R1007" s="93">
        <v>43190</v>
      </c>
      <c r="S1007" s="93" t="s">
        <v>2768</v>
      </c>
    </row>
    <row r="1008" spans="1:19">
      <c r="A1008" s="92">
        <v>43190</v>
      </c>
      <c r="C1008" s="1" t="s">
        <v>66</v>
      </c>
      <c r="E1008" s="98" t="s">
        <v>1565</v>
      </c>
      <c r="F1008" s="1" t="s">
        <v>1566</v>
      </c>
      <c r="G1008" s="1" t="s">
        <v>2631</v>
      </c>
      <c r="H1008" s="1">
        <v>20</v>
      </c>
      <c r="I1008" s="1" t="s">
        <v>1555</v>
      </c>
      <c r="J1008" s="1">
        <v>6</v>
      </c>
      <c r="K1008" s="1" t="s">
        <v>676</v>
      </c>
      <c r="L1008" s="1" t="s">
        <v>150</v>
      </c>
      <c r="M1008" s="1" t="s">
        <v>132</v>
      </c>
      <c r="N1008" s="1" t="s">
        <v>72</v>
      </c>
      <c r="O1008" s="1" t="s">
        <v>64</v>
      </c>
      <c r="P1008" s="1" t="s">
        <v>133</v>
      </c>
      <c r="R1008" s="93">
        <v>43190</v>
      </c>
      <c r="S1008" s="93" t="s">
        <v>2768</v>
      </c>
    </row>
    <row r="1009" spans="1:19">
      <c r="A1009" s="92">
        <v>43190</v>
      </c>
      <c r="C1009" s="1" t="s">
        <v>66</v>
      </c>
      <c r="E1009" s="98" t="s">
        <v>1565</v>
      </c>
      <c r="F1009" s="1" t="s">
        <v>1566</v>
      </c>
      <c r="G1009" s="1" t="s">
        <v>2631</v>
      </c>
      <c r="H1009" s="1">
        <v>0.01</v>
      </c>
      <c r="I1009" s="1" t="s">
        <v>1555</v>
      </c>
      <c r="J1009" s="1">
        <v>3.0000000000000001E-3</v>
      </c>
      <c r="K1009" s="1" t="s">
        <v>676</v>
      </c>
      <c r="L1009" s="1" t="s">
        <v>150</v>
      </c>
      <c r="M1009" s="1" t="s">
        <v>132</v>
      </c>
      <c r="N1009" s="1" t="s">
        <v>72</v>
      </c>
      <c r="O1009" s="1" t="s">
        <v>64</v>
      </c>
      <c r="P1009" s="1" t="s">
        <v>133</v>
      </c>
      <c r="R1009" s="93">
        <v>43190</v>
      </c>
      <c r="S1009" s="93" t="s">
        <v>2768</v>
      </c>
    </row>
    <row r="1010" spans="1:19">
      <c r="A1010" s="92">
        <v>43190</v>
      </c>
      <c r="C1010" s="1" t="s">
        <v>56</v>
      </c>
      <c r="E1010" s="98" t="s">
        <v>1567</v>
      </c>
      <c r="F1010" s="1" t="s">
        <v>1568</v>
      </c>
      <c r="G1010" s="1" t="s">
        <v>2632</v>
      </c>
      <c r="H1010" s="1">
        <v>1.41</v>
      </c>
      <c r="I1010" s="1" t="s">
        <v>1555</v>
      </c>
      <c r="J1010" s="1">
        <v>0.42299999999999999</v>
      </c>
      <c r="K1010" s="1" t="s">
        <v>136</v>
      </c>
      <c r="L1010" s="1" t="s">
        <v>85</v>
      </c>
      <c r="M1010" s="1" t="s">
        <v>71</v>
      </c>
      <c r="N1010" s="1" t="s">
        <v>72</v>
      </c>
      <c r="O1010" s="1" t="s">
        <v>64</v>
      </c>
      <c r="P1010" s="1" t="s">
        <v>73</v>
      </c>
      <c r="R1010" s="93">
        <v>43190</v>
      </c>
      <c r="S1010" s="93" t="s">
        <v>2768</v>
      </c>
    </row>
    <row r="1011" spans="1:19">
      <c r="A1011" s="92">
        <v>43190</v>
      </c>
      <c r="C1011" s="1" t="s">
        <v>66</v>
      </c>
      <c r="E1011" s="98" t="s">
        <v>1357</v>
      </c>
      <c r="F1011" s="1" t="s">
        <v>69</v>
      </c>
      <c r="G1011" s="1" t="s">
        <v>2551</v>
      </c>
      <c r="H1011" s="1">
        <v>0.1</v>
      </c>
      <c r="I1011" s="1" t="s">
        <v>1555</v>
      </c>
      <c r="J1011" s="1">
        <v>0.03</v>
      </c>
      <c r="K1011" s="1" t="s">
        <v>69</v>
      </c>
      <c r="L1011" s="1" t="s">
        <v>70</v>
      </c>
      <c r="M1011" s="1" t="s">
        <v>71</v>
      </c>
      <c r="N1011" s="1" t="s">
        <v>72</v>
      </c>
      <c r="O1011" s="1" t="s">
        <v>64</v>
      </c>
      <c r="P1011" s="1" t="s">
        <v>73</v>
      </c>
      <c r="R1011" s="93">
        <v>43190</v>
      </c>
      <c r="S1011" s="93" t="s">
        <v>2768</v>
      </c>
    </row>
    <row r="1012" spans="1:19">
      <c r="A1012" s="92">
        <v>43190</v>
      </c>
      <c r="C1012" s="1" t="s">
        <v>56</v>
      </c>
      <c r="E1012" s="98" t="s">
        <v>1569</v>
      </c>
      <c r="F1012" s="1" t="s">
        <v>1570</v>
      </c>
      <c r="G1012" s="1" t="s">
        <v>2633</v>
      </c>
      <c r="H1012" s="1">
        <v>1.99</v>
      </c>
      <c r="I1012" s="1" t="s">
        <v>1555</v>
      </c>
      <c r="J1012" s="1">
        <v>0.59699999999999998</v>
      </c>
      <c r="K1012" s="1" t="s">
        <v>365</v>
      </c>
      <c r="L1012" s="1" t="s">
        <v>102</v>
      </c>
      <c r="M1012" s="1" t="s">
        <v>94</v>
      </c>
      <c r="N1012" s="1" t="s">
        <v>72</v>
      </c>
      <c r="O1012" s="1" t="s">
        <v>64</v>
      </c>
      <c r="P1012" s="1" t="s">
        <v>95</v>
      </c>
      <c r="R1012" s="93">
        <v>43190</v>
      </c>
      <c r="S1012" s="93" t="s">
        <v>2768</v>
      </c>
    </row>
    <row r="1013" spans="1:19">
      <c r="A1013" s="92">
        <v>43190</v>
      </c>
      <c r="C1013" s="1" t="s">
        <v>66</v>
      </c>
      <c r="E1013" s="98" t="s">
        <v>1571</v>
      </c>
      <c r="F1013" s="1" t="s">
        <v>1572</v>
      </c>
      <c r="G1013" s="1" t="s">
        <v>2634</v>
      </c>
      <c r="H1013" s="1">
        <v>0.1</v>
      </c>
      <c r="I1013" s="1" t="s">
        <v>1555</v>
      </c>
      <c r="J1013" s="1">
        <v>0.03</v>
      </c>
      <c r="K1013" s="1" t="s">
        <v>215</v>
      </c>
      <c r="L1013" s="1" t="s">
        <v>216</v>
      </c>
      <c r="M1013" s="1" t="s">
        <v>52</v>
      </c>
      <c r="N1013" s="1" t="s">
        <v>63</v>
      </c>
      <c r="O1013" s="1" t="s">
        <v>64</v>
      </c>
      <c r="P1013" s="1" t="s">
        <v>111</v>
      </c>
      <c r="R1013" s="93">
        <v>43190</v>
      </c>
      <c r="S1013" s="93" t="s">
        <v>2768</v>
      </c>
    </row>
    <row r="1014" spans="1:19">
      <c r="A1014" s="92">
        <v>43190</v>
      </c>
      <c r="C1014" s="1" t="s">
        <v>56</v>
      </c>
      <c r="E1014" s="98" t="s">
        <v>1573</v>
      </c>
      <c r="F1014" s="1" t="s">
        <v>1574</v>
      </c>
      <c r="G1014" s="1" t="s">
        <v>2635</v>
      </c>
      <c r="H1014" s="1">
        <v>3</v>
      </c>
      <c r="I1014" s="1" t="s">
        <v>1555</v>
      </c>
      <c r="J1014" s="1">
        <v>0.9</v>
      </c>
      <c r="K1014" s="1" t="s">
        <v>167</v>
      </c>
      <c r="L1014" s="1" t="s">
        <v>117</v>
      </c>
      <c r="M1014" s="1" t="s">
        <v>2661</v>
      </c>
      <c r="N1014" s="1" t="s">
        <v>72</v>
      </c>
      <c r="O1014" s="1" t="s">
        <v>64</v>
      </c>
      <c r="P1014" s="1" t="s">
        <v>53</v>
      </c>
      <c r="R1014" s="93">
        <v>43190</v>
      </c>
      <c r="S1014" s="93" t="s">
        <v>2768</v>
      </c>
    </row>
    <row r="1015" spans="1:19">
      <c r="A1015" s="92">
        <v>43189</v>
      </c>
      <c r="C1015" s="1" t="s">
        <v>56</v>
      </c>
      <c r="E1015" s="98" t="s">
        <v>1575</v>
      </c>
      <c r="F1015" s="1" t="s">
        <v>1576</v>
      </c>
      <c r="G1015" s="1" t="s">
        <v>2636</v>
      </c>
      <c r="H1015" s="1">
        <v>1.0900000000000001</v>
      </c>
      <c r="I1015" s="1" t="s">
        <v>1577</v>
      </c>
      <c r="J1015" s="1">
        <v>1.635</v>
      </c>
      <c r="K1015" s="1" t="s">
        <v>136</v>
      </c>
      <c r="L1015" s="1" t="s">
        <v>85</v>
      </c>
      <c r="M1015" s="1" t="s">
        <v>71</v>
      </c>
      <c r="N1015" s="1" t="s">
        <v>72</v>
      </c>
      <c r="O1015" s="1" t="s">
        <v>64</v>
      </c>
      <c r="P1015" s="1" t="s">
        <v>73</v>
      </c>
      <c r="R1015" s="93">
        <v>43189</v>
      </c>
      <c r="S1015" s="93" t="s">
        <v>2769</v>
      </c>
    </row>
    <row r="1016" spans="1:19">
      <c r="A1016" s="92">
        <v>43190</v>
      </c>
      <c r="C1016" s="1" t="s">
        <v>66</v>
      </c>
      <c r="E1016" s="98" t="s">
        <v>1578</v>
      </c>
      <c r="F1016" s="1" t="s">
        <v>1579</v>
      </c>
      <c r="G1016" s="1" t="s">
        <v>2637</v>
      </c>
      <c r="H1016" s="1">
        <v>5</v>
      </c>
      <c r="I1016" s="1" t="s">
        <v>1577</v>
      </c>
      <c r="J1016" s="1">
        <v>7.5</v>
      </c>
      <c r="K1016" s="1" t="s">
        <v>676</v>
      </c>
      <c r="L1016" s="1" t="s">
        <v>150</v>
      </c>
      <c r="M1016" s="1" t="s">
        <v>132</v>
      </c>
      <c r="N1016" s="1" t="s">
        <v>72</v>
      </c>
      <c r="O1016" s="1" t="s">
        <v>64</v>
      </c>
      <c r="P1016" s="1" t="s">
        <v>133</v>
      </c>
      <c r="R1016" s="93">
        <v>43190</v>
      </c>
      <c r="S1016" s="93" t="s">
        <v>2769</v>
      </c>
    </row>
    <row r="1017" spans="1:19">
      <c r="A1017" s="92">
        <v>43190</v>
      </c>
      <c r="C1017" s="1" t="s">
        <v>56</v>
      </c>
      <c r="E1017" s="98" t="s">
        <v>258</v>
      </c>
      <c r="F1017" s="1" t="s">
        <v>259</v>
      </c>
      <c r="G1017" s="1" t="s">
        <v>2131</v>
      </c>
      <c r="H1017" s="1">
        <v>1.42</v>
      </c>
      <c r="I1017" s="1" t="s">
        <v>1577</v>
      </c>
      <c r="J1017" s="1">
        <v>2.13</v>
      </c>
      <c r="K1017" s="1" t="s">
        <v>127</v>
      </c>
      <c r="L1017" s="1" t="s">
        <v>110</v>
      </c>
      <c r="M1017" s="1" t="s">
        <v>52</v>
      </c>
      <c r="N1017" s="1" t="s">
        <v>63</v>
      </c>
      <c r="O1017" s="1" t="s">
        <v>64</v>
      </c>
      <c r="P1017" s="1" t="s">
        <v>111</v>
      </c>
      <c r="R1017" s="93">
        <v>43190</v>
      </c>
      <c r="S1017" s="93" t="s">
        <v>2769</v>
      </c>
    </row>
    <row r="1018" spans="1:19">
      <c r="A1018" s="92">
        <v>43189</v>
      </c>
      <c r="C1018" s="1" t="s">
        <v>56</v>
      </c>
      <c r="E1018" s="98" t="s">
        <v>1581</v>
      </c>
      <c r="F1018" s="1" t="s">
        <v>1582</v>
      </c>
      <c r="G1018" s="1" t="s">
        <v>2638</v>
      </c>
      <c r="H1018" s="1">
        <v>1.5</v>
      </c>
      <c r="I1018" s="1" t="s">
        <v>1580</v>
      </c>
      <c r="J1018" s="1">
        <v>1.5</v>
      </c>
      <c r="K1018" s="1" t="s">
        <v>124</v>
      </c>
      <c r="L1018" s="1" t="s">
        <v>117</v>
      </c>
      <c r="M1018" s="1" t="s">
        <v>2661</v>
      </c>
      <c r="N1018" s="1" t="s">
        <v>72</v>
      </c>
      <c r="O1018" s="1" t="s">
        <v>64</v>
      </c>
      <c r="P1018" s="1" t="s">
        <v>53</v>
      </c>
      <c r="R1018" s="93">
        <v>43189</v>
      </c>
      <c r="S1018" s="93" t="s">
        <v>2770</v>
      </c>
    </row>
    <row r="1019" spans="1:19">
      <c r="A1019" s="92">
        <v>43189</v>
      </c>
      <c r="C1019" s="1" t="s">
        <v>56</v>
      </c>
      <c r="E1019" s="98" t="s">
        <v>1583</v>
      </c>
      <c r="F1019" s="1" t="s">
        <v>415</v>
      </c>
      <c r="G1019" s="1" t="s">
        <v>2639</v>
      </c>
      <c r="H1019" s="1">
        <v>3.0142189999999998</v>
      </c>
      <c r="I1019" s="1" t="s">
        <v>1580</v>
      </c>
      <c r="J1019" s="1">
        <v>3.0142189999999998</v>
      </c>
      <c r="K1019" s="1" t="s">
        <v>277</v>
      </c>
      <c r="L1019" s="1" t="s">
        <v>269</v>
      </c>
      <c r="M1019" s="1" t="s">
        <v>132</v>
      </c>
      <c r="N1019" s="1" t="s">
        <v>72</v>
      </c>
      <c r="O1019" s="1" t="s">
        <v>64</v>
      </c>
      <c r="P1019" s="1" t="s">
        <v>133</v>
      </c>
      <c r="R1019" s="93">
        <v>43189</v>
      </c>
      <c r="S1019" s="93" t="s">
        <v>2770</v>
      </c>
    </row>
    <row r="1020" spans="1:19">
      <c r="A1020" s="92">
        <v>43189</v>
      </c>
      <c r="C1020" s="1" t="s">
        <v>66</v>
      </c>
      <c r="E1020" s="98" t="s">
        <v>1587</v>
      </c>
      <c r="F1020" s="1" t="s">
        <v>1588</v>
      </c>
      <c r="G1020" s="1" t="s">
        <v>2640</v>
      </c>
      <c r="H1020" s="1">
        <v>1</v>
      </c>
      <c r="I1020" s="1" t="s">
        <v>1586</v>
      </c>
      <c r="J1020" s="1">
        <v>0.6</v>
      </c>
      <c r="K1020" s="1" t="s">
        <v>124</v>
      </c>
      <c r="L1020" s="1" t="s">
        <v>117</v>
      </c>
      <c r="M1020" s="1" t="s">
        <v>2661</v>
      </c>
      <c r="N1020" s="1" t="s">
        <v>72</v>
      </c>
      <c r="O1020" s="1" t="s">
        <v>64</v>
      </c>
      <c r="P1020" s="1" t="s">
        <v>53</v>
      </c>
      <c r="R1020" s="93">
        <v>43189</v>
      </c>
      <c r="S1020" s="93" t="s">
        <v>2771</v>
      </c>
    </row>
    <row r="1021" spans="1:19">
      <c r="A1021" s="92">
        <v>43189</v>
      </c>
      <c r="C1021" s="1" t="s">
        <v>56</v>
      </c>
      <c r="E1021" s="98" t="s">
        <v>1589</v>
      </c>
      <c r="F1021" s="1" t="s">
        <v>1590</v>
      </c>
      <c r="G1021" s="1" t="s">
        <v>2641</v>
      </c>
      <c r="H1021" s="1">
        <v>5</v>
      </c>
      <c r="I1021" s="1" t="s">
        <v>1586</v>
      </c>
      <c r="J1021" s="1">
        <v>3</v>
      </c>
      <c r="K1021" s="1" t="s">
        <v>580</v>
      </c>
      <c r="L1021" s="1" t="s">
        <v>150</v>
      </c>
      <c r="M1021" s="1" t="s">
        <v>132</v>
      </c>
      <c r="N1021" s="1" t="s">
        <v>72</v>
      </c>
      <c r="O1021" s="1" t="s">
        <v>64</v>
      </c>
      <c r="P1021" s="1" t="s">
        <v>133</v>
      </c>
      <c r="R1021" s="93">
        <v>43189</v>
      </c>
      <c r="S1021" s="93" t="s">
        <v>2771</v>
      </c>
    </row>
    <row r="1022" spans="1:19">
      <c r="A1022" s="92">
        <v>43190</v>
      </c>
      <c r="C1022" s="1" t="s">
        <v>56</v>
      </c>
      <c r="E1022" s="98" t="s">
        <v>1589</v>
      </c>
      <c r="F1022" s="1" t="s">
        <v>1590</v>
      </c>
      <c r="G1022" s="1" t="s">
        <v>2641</v>
      </c>
      <c r="H1022" s="1">
        <v>2.5</v>
      </c>
      <c r="I1022" s="1" t="s">
        <v>1586</v>
      </c>
      <c r="J1022" s="1">
        <v>1.5</v>
      </c>
      <c r="K1022" s="1" t="s">
        <v>580</v>
      </c>
      <c r="L1022" s="1" t="s">
        <v>150</v>
      </c>
      <c r="M1022" s="1" t="s">
        <v>132</v>
      </c>
      <c r="N1022" s="1" t="s">
        <v>72</v>
      </c>
      <c r="O1022" s="1" t="s">
        <v>64</v>
      </c>
      <c r="P1022" s="1" t="s">
        <v>133</v>
      </c>
      <c r="R1022" s="93">
        <v>43190</v>
      </c>
      <c r="S1022" s="93" t="s">
        <v>2771</v>
      </c>
    </row>
    <row r="1023" spans="1:19">
      <c r="A1023" s="92">
        <v>43190</v>
      </c>
      <c r="C1023" s="1" t="s">
        <v>56</v>
      </c>
      <c r="E1023" s="98" t="s">
        <v>1591</v>
      </c>
      <c r="F1023" s="1" t="s">
        <v>1592</v>
      </c>
      <c r="G1023" s="1" t="s">
        <v>2642</v>
      </c>
      <c r="H1023" s="1">
        <v>4</v>
      </c>
      <c r="I1023" s="1" t="s">
        <v>1586</v>
      </c>
      <c r="J1023" s="1">
        <v>2.4</v>
      </c>
      <c r="K1023" s="1" t="s">
        <v>296</v>
      </c>
      <c r="L1023" s="1" t="s">
        <v>93</v>
      </c>
      <c r="M1023" s="1" t="s">
        <v>94</v>
      </c>
      <c r="N1023" s="1" t="s">
        <v>72</v>
      </c>
      <c r="O1023" s="1" t="s">
        <v>64</v>
      </c>
      <c r="P1023" s="1" t="s">
        <v>95</v>
      </c>
      <c r="R1023" s="93">
        <v>43190</v>
      </c>
      <c r="S1023" s="93" t="s">
        <v>2771</v>
      </c>
    </row>
    <row r="1024" spans="1:19">
      <c r="A1024" s="92">
        <v>43190</v>
      </c>
      <c r="C1024" s="1" t="s">
        <v>56</v>
      </c>
      <c r="E1024" s="98" t="s">
        <v>1037</v>
      </c>
      <c r="F1024" s="1" t="s">
        <v>1038</v>
      </c>
      <c r="G1024" s="1" t="s">
        <v>2429</v>
      </c>
      <c r="H1024" s="1">
        <v>2.5</v>
      </c>
      <c r="I1024" s="1" t="s">
        <v>1586</v>
      </c>
      <c r="J1024" s="1">
        <v>1.5</v>
      </c>
      <c r="K1024" s="1" t="s">
        <v>136</v>
      </c>
      <c r="L1024" s="1" t="s">
        <v>85</v>
      </c>
      <c r="M1024" s="1" t="s">
        <v>71</v>
      </c>
      <c r="N1024" s="1" t="s">
        <v>72</v>
      </c>
      <c r="O1024" s="1" t="s">
        <v>64</v>
      </c>
      <c r="P1024" s="1" t="s">
        <v>73</v>
      </c>
      <c r="R1024" s="93">
        <v>43190</v>
      </c>
      <c r="S1024" s="93" t="s">
        <v>2771</v>
      </c>
    </row>
    <row r="1025" spans="1:19">
      <c r="A1025" s="92">
        <v>43189</v>
      </c>
      <c r="C1025" s="1" t="s">
        <v>56</v>
      </c>
      <c r="E1025" s="98" t="s">
        <v>1593</v>
      </c>
      <c r="F1025" s="1" t="s">
        <v>117</v>
      </c>
      <c r="G1025" s="1" t="s">
        <v>2643</v>
      </c>
      <c r="H1025" s="1">
        <v>1.1000000000000001</v>
      </c>
      <c r="I1025" s="1" t="s">
        <v>1594</v>
      </c>
      <c r="J1025" s="1">
        <v>1.1000000000000001</v>
      </c>
      <c r="K1025" s="1" t="s">
        <v>117</v>
      </c>
      <c r="L1025" s="1" t="s">
        <v>117</v>
      </c>
      <c r="M1025" s="1" t="s">
        <v>2661</v>
      </c>
      <c r="N1025" s="1" t="s">
        <v>72</v>
      </c>
      <c r="O1025" s="1" t="s">
        <v>64</v>
      </c>
      <c r="P1025" s="1" t="s">
        <v>53</v>
      </c>
      <c r="R1025" s="93">
        <v>43189</v>
      </c>
      <c r="S1025" s="93" t="s">
        <v>2770</v>
      </c>
    </row>
    <row r="1026" spans="1:19">
      <c r="A1026" s="92">
        <v>43189</v>
      </c>
      <c r="C1026" s="1" t="s">
        <v>56</v>
      </c>
      <c r="E1026" s="98" t="s">
        <v>1595</v>
      </c>
      <c r="F1026" s="1" t="s">
        <v>1596</v>
      </c>
      <c r="G1026" s="1" t="s">
        <v>2644</v>
      </c>
      <c r="H1026" s="1">
        <v>10</v>
      </c>
      <c r="I1026" s="1" t="s">
        <v>1594</v>
      </c>
      <c r="J1026" s="1">
        <v>10</v>
      </c>
      <c r="K1026" s="1" t="s">
        <v>296</v>
      </c>
      <c r="L1026" s="1" t="s">
        <v>93</v>
      </c>
      <c r="M1026" s="1" t="s">
        <v>94</v>
      </c>
      <c r="N1026" s="1" t="s">
        <v>72</v>
      </c>
      <c r="O1026" s="1" t="s">
        <v>64</v>
      </c>
      <c r="P1026" s="1" t="s">
        <v>95</v>
      </c>
      <c r="R1026" s="93">
        <v>43189</v>
      </c>
      <c r="S1026" s="93" t="s">
        <v>2770</v>
      </c>
    </row>
    <row r="1027" spans="1:19">
      <c r="A1027" s="92">
        <v>43189</v>
      </c>
      <c r="C1027" s="1" t="s">
        <v>56</v>
      </c>
      <c r="E1027" s="98" t="s">
        <v>1597</v>
      </c>
      <c r="F1027" s="1" t="s">
        <v>1598</v>
      </c>
      <c r="G1027" s="1" t="s">
        <v>2645</v>
      </c>
      <c r="H1027" s="1">
        <v>10</v>
      </c>
      <c r="I1027" s="1" t="s">
        <v>1594</v>
      </c>
      <c r="J1027" s="1">
        <v>10</v>
      </c>
      <c r="K1027" s="1" t="s">
        <v>85</v>
      </c>
      <c r="L1027" s="1" t="s">
        <v>85</v>
      </c>
      <c r="M1027" s="1" t="s">
        <v>71</v>
      </c>
      <c r="N1027" s="1" t="s">
        <v>72</v>
      </c>
      <c r="O1027" s="1" t="s">
        <v>64</v>
      </c>
      <c r="P1027" s="1" t="s">
        <v>73</v>
      </c>
      <c r="R1027" s="93">
        <v>43189</v>
      </c>
      <c r="S1027" s="93" t="s">
        <v>2770</v>
      </c>
    </row>
    <row r="1028" spans="1:19">
      <c r="A1028" s="92">
        <v>43189</v>
      </c>
      <c r="C1028" s="1" t="s">
        <v>56</v>
      </c>
      <c r="E1028" s="98" t="s">
        <v>453</v>
      </c>
      <c r="F1028" s="1" t="s">
        <v>454</v>
      </c>
      <c r="G1028" s="1" t="s">
        <v>2205</v>
      </c>
      <c r="H1028" s="1">
        <v>5.65</v>
      </c>
      <c r="I1028" s="1" t="s">
        <v>1594</v>
      </c>
      <c r="J1028" s="1">
        <v>5.65</v>
      </c>
      <c r="K1028" s="1" t="s">
        <v>312</v>
      </c>
      <c r="L1028" s="1" t="s">
        <v>117</v>
      </c>
      <c r="M1028" s="1" t="s">
        <v>2661</v>
      </c>
      <c r="N1028" s="1" t="s">
        <v>72</v>
      </c>
      <c r="O1028" s="1" t="s">
        <v>64</v>
      </c>
      <c r="P1028" s="1" t="s">
        <v>53</v>
      </c>
      <c r="R1028" s="93">
        <v>43189</v>
      </c>
      <c r="S1028" s="93" t="s">
        <v>2770</v>
      </c>
    </row>
    <row r="1029" spans="1:19">
      <c r="A1029" s="92">
        <v>43189</v>
      </c>
      <c r="C1029" s="1" t="s">
        <v>56</v>
      </c>
      <c r="E1029" s="98" t="s">
        <v>1599</v>
      </c>
      <c r="F1029" s="1" t="s">
        <v>1600</v>
      </c>
      <c r="G1029" s="1" t="s">
        <v>2646</v>
      </c>
      <c r="H1029" s="1">
        <v>3.39</v>
      </c>
      <c r="I1029" s="1" t="s">
        <v>1594</v>
      </c>
      <c r="J1029" s="1">
        <v>3.39</v>
      </c>
      <c r="K1029" s="1" t="s">
        <v>309</v>
      </c>
      <c r="L1029" s="1" t="s">
        <v>150</v>
      </c>
      <c r="M1029" s="1" t="s">
        <v>132</v>
      </c>
      <c r="N1029" s="1" t="s">
        <v>72</v>
      </c>
      <c r="O1029" s="1" t="s">
        <v>64</v>
      </c>
      <c r="P1029" s="1" t="s">
        <v>133</v>
      </c>
      <c r="R1029" s="93">
        <v>43189</v>
      </c>
      <c r="S1029" s="93" t="s">
        <v>2770</v>
      </c>
    </row>
    <row r="1030" spans="1:19">
      <c r="A1030" s="92">
        <v>43189</v>
      </c>
      <c r="C1030" s="1" t="s">
        <v>56</v>
      </c>
      <c r="E1030" s="98" t="s">
        <v>1601</v>
      </c>
      <c r="F1030" s="1" t="s">
        <v>70</v>
      </c>
      <c r="G1030" s="1" t="s">
        <v>2647</v>
      </c>
      <c r="H1030" s="1">
        <v>5</v>
      </c>
      <c r="I1030" s="1" t="s">
        <v>1594</v>
      </c>
      <c r="J1030" s="1">
        <v>5</v>
      </c>
      <c r="K1030" s="1" t="s">
        <v>70</v>
      </c>
      <c r="L1030" s="1" t="s">
        <v>70</v>
      </c>
      <c r="M1030" s="1" t="s">
        <v>71</v>
      </c>
      <c r="N1030" s="1" t="s">
        <v>72</v>
      </c>
      <c r="O1030" s="1" t="s">
        <v>64</v>
      </c>
      <c r="P1030" s="1" t="s">
        <v>73</v>
      </c>
      <c r="R1030" s="93">
        <v>43189</v>
      </c>
      <c r="S1030" s="93" t="s">
        <v>2770</v>
      </c>
    </row>
    <row r="1031" spans="1:19">
      <c r="A1031" s="92">
        <v>43189</v>
      </c>
      <c r="C1031" s="1" t="s">
        <v>66</v>
      </c>
      <c r="E1031" s="98" t="s">
        <v>1266</v>
      </c>
      <c r="F1031" s="1" t="s">
        <v>1267</v>
      </c>
      <c r="G1031" s="1" t="s">
        <v>2512</v>
      </c>
      <c r="H1031" s="1">
        <v>1</v>
      </c>
      <c r="I1031" s="1" t="s">
        <v>1594</v>
      </c>
      <c r="J1031" s="1">
        <v>1</v>
      </c>
      <c r="K1031" s="1" t="s">
        <v>215</v>
      </c>
      <c r="L1031" s="1" t="s">
        <v>216</v>
      </c>
      <c r="M1031" s="1" t="s">
        <v>52</v>
      </c>
      <c r="N1031" s="1" t="s">
        <v>63</v>
      </c>
      <c r="O1031" s="1" t="s">
        <v>64</v>
      </c>
      <c r="P1031" s="1" t="s">
        <v>111</v>
      </c>
      <c r="R1031" s="93">
        <v>43189</v>
      </c>
      <c r="S1031" s="93" t="s">
        <v>2770</v>
      </c>
    </row>
    <row r="1032" spans="1:19">
      <c r="A1032" s="92">
        <v>43189</v>
      </c>
      <c r="C1032" s="1" t="s">
        <v>56</v>
      </c>
      <c r="E1032" s="98" t="s">
        <v>1604</v>
      </c>
      <c r="F1032" s="1" t="s">
        <v>1605</v>
      </c>
      <c r="G1032" s="1" t="s">
        <v>2648</v>
      </c>
      <c r="H1032" s="1">
        <v>5</v>
      </c>
      <c r="I1032" s="1" t="s">
        <v>1594</v>
      </c>
      <c r="J1032" s="1">
        <v>5</v>
      </c>
      <c r="K1032" s="1" t="s">
        <v>97</v>
      </c>
      <c r="L1032" s="1" t="s">
        <v>93</v>
      </c>
      <c r="M1032" s="1" t="s">
        <v>94</v>
      </c>
      <c r="N1032" s="1" t="s">
        <v>72</v>
      </c>
      <c r="O1032" s="1" t="s">
        <v>64</v>
      </c>
      <c r="P1032" s="1" t="s">
        <v>95</v>
      </c>
      <c r="R1032" s="93">
        <v>43189</v>
      </c>
      <c r="S1032" s="93" t="s">
        <v>2770</v>
      </c>
    </row>
    <row r="1033" spans="1:19">
      <c r="A1033" s="92">
        <v>43189</v>
      </c>
      <c r="C1033" s="1" t="s">
        <v>66</v>
      </c>
      <c r="E1033" s="98" t="s">
        <v>1606</v>
      </c>
      <c r="F1033" s="1" t="s">
        <v>1607</v>
      </c>
      <c r="G1033" s="1" t="s">
        <v>2649</v>
      </c>
      <c r="H1033" s="1">
        <v>5</v>
      </c>
      <c r="I1033" s="1" t="s">
        <v>1594</v>
      </c>
      <c r="J1033" s="1">
        <v>5</v>
      </c>
      <c r="K1033" s="1" t="s">
        <v>234</v>
      </c>
      <c r="L1033" s="1" t="s">
        <v>131</v>
      </c>
      <c r="M1033" s="1" t="s">
        <v>132</v>
      </c>
      <c r="N1033" s="1" t="s">
        <v>72</v>
      </c>
      <c r="O1033" s="1" t="s">
        <v>64</v>
      </c>
      <c r="P1033" s="1" t="s">
        <v>133</v>
      </c>
      <c r="R1033" s="93">
        <v>43189</v>
      </c>
      <c r="S1033" s="93" t="s">
        <v>2770</v>
      </c>
    </row>
    <row r="1034" spans="1:19">
      <c r="A1034" s="92">
        <v>43189</v>
      </c>
      <c r="C1034" s="1" t="s">
        <v>56</v>
      </c>
      <c r="E1034" s="98" t="s">
        <v>1608</v>
      </c>
      <c r="F1034" s="1" t="s">
        <v>365</v>
      </c>
      <c r="G1034" s="1" t="s">
        <v>2650</v>
      </c>
      <c r="H1034" s="1">
        <v>5</v>
      </c>
      <c r="I1034" s="1" t="s">
        <v>1594</v>
      </c>
      <c r="J1034" s="1">
        <v>5</v>
      </c>
      <c r="K1034" s="1" t="s">
        <v>365</v>
      </c>
      <c r="L1034" s="1" t="s">
        <v>102</v>
      </c>
      <c r="M1034" s="1" t="s">
        <v>94</v>
      </c>
      <c r="N1034" s="1" t="s">
        <v>72</v>
      </c>
      <c r="O1034" s="1" t="s">
        <v>64</v>
      </c>
      <c r="P1034" s="1" t="s">
        <v>95</v>
      </c>
      <c r="R1034" s="93">
        <v>43189</v>
      </c>
      <c r="S1034" s="93" t="s">
        <v>2770</v>
      </c>
    </row>
    <row r="1035" spans="1:19">
      <c r="A1035" s="92">
        <v>43189</v>
      </c>
      <c r="C1035" s="1" t="s">
        <v>66</v>
      </c>
      <c r="E1035" s="98" t="s">
        <v>1609</v>
      </c>
      <c r="F1035" s="1" t="s">
        <v>1610</v>
      </c>
      <c r="G1035" s="1" t="s">
        <v>2651</v>
      </c>
      <c r="H1035" s="1">
        <v>1</v>
      </c>
      <c r="I1035" s="1" t="s">
        <v>1594</v>
      </c>
      <c r="J1035" s="1">
        <v>1</v>
      </c>
      <c r="K1035" s="1" t="s">
        <v>215</v>
      </c>
      <c r="L1035" s="1" t="s">
        <v>216</v>
      </c>
      <c r="M1035" s="1" t="s">
        <v>52</v>
      </c>
      <c r="N1035" s="1" t="s">
        <v>63</v>
      </c>
      <c r="O1035" s="1" t="s">
        <v>64</v>
      </c>
      <c r="P1035" s="1" t="s">
        <v>111</v>
      </c>
      <c r="R1035" s="93">
        <v>43189</v>
      </c>
      <c r="S1035" s="93" t="s">
        <v>2770</v>
      </c>
    </row>
    <row r="1036" spans="1:19">
      <c r="A1036" s="92">
        <v>43189</v>
      </c>
      <c r="C1036" s="1" t="s">
        <v>56</v>
      </c>
      <c r="E1036" s="98" t="s">
        <v>1613</v>
      </c>
      <c r="F1036" s="1" t="s">
        <v>1614</v>
      </c>
      <c r="G1036" s="1" t="s">
        <v>2652</v>
      </c>
      <c r="H1036" s="1">
        <v>4</v>
      </c>
      <c r="I1036" s="1" t="s">
        <v>1594</v>
      </c>
      <c r="J1036" s="1">
        <v>4</v>
      </c>
      <c r="K1036" s="1" t="s">
        <v>377</v>
      </c>
      <c r="L1036" s="1" t="s">
        <v>110</v>
      </c>
      <c r="M1036" s="1" t="s">
        <v>52</v>
      </c>
      <c r="N1036" s="1" t="s">
        <v>63</v>
      </c>
      <c r="O1036" s="1" t="s">
        <v>64</v>
      </c>
      <c r="P1036" s="1" t="s">
        <v>111</v>
      </c>
      <c r="R1036" s="93">
        <v>43189</v>
      </c>
      <c r="S1036" s="93" t="s">
        <v>2770</v>
      </c>
    </row>
    <row r="1037" spans="1:19">
      <c r="A1037" s="92">
        <v>43190</v>
      </c>
      <c r="C1037" s="1" t="s">
        <v>56</v>
      </c>
      <c r="E1037" s="98" t="s">
        <v>1615</v>
      </c>
      <c r="F1037" s="1" t="s">
        <v>1616</v>
      </c>
      <c r="G1037" s="1" t="s">
        <v>2653</v>
      </c>
      <c r="H1037" s="1">
        <v>1</v>
      </c>
      <c r="I1037" s="1" t="s">
        <v>1594</v>
      </c>
      <c r="J1037" s="1">
        <v>1</v>
      </c>
      <c r="K1037" s="1" t="s">
        <v>1616</v>
      </c>
      <c r="L1037" s="1" t="s">
        <v>253</v>
      </c>
      <c r="M1037" s="1" t="s">
        <v>94</v>
      </c>
      <c r="N1037" s="1" t="s">
        <v>72</v>
      </c>
      <c r="O1037" s="1" t="s">
        <v>64</v>
      </c>
      <c r="P1037" s="1" t="s">
        <v>95</v>
      </c>
      <c r="R1037" s="93">
        <v>43190</v>
      </c>
      <c r="S1037" s="93" t="s">
        <v>2770</v>
      </c>
    </row>
    <row r="1038" spans="1:19">
      <c r="A1038" s="92">
        <v>43190</v>
      </c>
      <c r="C1038" s="1" t="s">
        <v>56</v>
      </c>
      <c r="E1038" s="98" t="s">
        <v>1076</v>
      </c>
      <c r="F1038" s="1" t="s">
        <v>563</v>
      </c>
      <c r="G1038" s="1" t="s">
        <v>2443</v>
      </c>
      <c r="H1038" s="1">
        <v>0.5</v>
      </c>
      <c r="I1038" s="1" t="s">
        <v>1594</v>
      </c>
      <c r="J1038" s="1">
        <v>0.5</v>
      </c>
      <c r="K1038" s="1" t="s">
        <v>563</v>
      </c>
      <c r="L1038" s="1" t="s">
        <v>281</v>
      </c>
      <c r="M1038" s="1" t="s">
        <v>71</v>
      </c>
      <c r="N1038" s="1" t="s">
        <v>72</v>
      </c>
      <c r="O1038" s="1" t="s">
        <v>64</v>
      </c>
      <c r="P1038" s="1" t="s">
        <v>73</v>
      </c>
      <c r="R1038" s="93">
        <v>43190</v>
      </c>
      <c r="S1038" s="93" t="s">
        <v>2770</v>
      </c>
    </row>
    <row r="1039" spans="1:19">
      <c r="A1039" s="92">
        <v>43190</v>
      </c>
      <c r="C1039" s="1" t="s">
        <v>56</v>
      </c>
      <c r="E1039" s="98" t="s">
        <v>1618</v>
      </c>
      <c r="F1039" s="1" t="s">
        <v>1619</v>
      </c>
      <c r="G1039" s="1" t="s">
        <v>2654</v>
      </c>
      <c r="H1039" s="1">
        <v>2</v>
      </c>
      <c r="I1039" s="1" t="s">
        <v>1594</v>
      </c>
      <c r="J1039" s="1">
        <v>2</v>
      </c>
      <c r="K1039" s="1" t="s">
        <v>175</v>
      </c>
      <c r="L1039" s="1" t="s">
        <v>131</v>
      </c>
      <c r="M1039" s="1" t="s">
        <v>132</v>
      </c>
      <c r="N1039" s="1" t="s">
        <v>72</v>
      </c>
      <c r="O1039" s="1" t="s">
        <v>64</v>
      </c>
      <c r="P1039" s="1" t="s">
        <v>133</v>
      </c>
      <c r="R1039" s="93">
        <v>43190</v>
      </c>
      <c r="S1039" s="93" t="s">
        <v>2770</v>
      </c>
    </row>
    <row r="1040" spans="1:19">
      <c r="A1040" s="92">
        <v>43190</v>
      </c>
      <c r="C1040" s="1" t="s">
        <v>66</v>
      </c>
      <c r="E1040" s="98" t="s">
        <v>1407</v>
      </c>
      <c r="F1040" s="1" t="s">
        <v>1408</v>
      </c>
      <c r="G1040" s="1" t="s">
        <v>2571</v>
      </c>
      <c r="H1040" s="1">
        <v>3</v>
      </c>
      <c r="I1040" s="1" t="s">
        <v>1594</v>
      </c>
      <c r="J1040" s="1">
        <v>3</v>
      </c>
      <c r="K1040" s="1" t="s">
        <v>234</v>
      </c>
      <c r="L1040" s="1" t="s">
        <v>131</v>
      </c>
      <c r="M1040" s="1" t="s">
        <v>132</v>
      </c>
      <c r="N1040" s="1" t="s">
        <v>72</v>
      </c>
      <c r="O1040" s="1" t="s">
        <v>64</v>
      </c>
      <c r="P1040" s="1" t="s">
        <v>133</v>
      </c>
      <c r="R1040" s="93">
        <v>43190</v>
      </c>
      <c r="S1040" s="93" t="s">
        <v>2770</v>
      </c>
    </row>
    <row r="1041" spans="1:19">
      <c r="A1041" s="92">
        <v>43190</v>
      </c>
      <c r="C1041" s="1" t="s">
        <v>66</v>
      </c>
      <c r="E1041" s="98" t="s">
        <v>1620</v>
      </c>
      <c r="F1041" s="1" t="s">
        <v>1621</v>
      </c>
      <c r="G1041" s="1" t="s">
        <v>2655</v>
      </c>
      <c r="H1041" s="1">
        <v>2</v>
      </c>
      <c r="I1041" s="1" t="s">
        <v>1594</v>
      </c>
      <c r="J1041" s="1">
        <v>2</v>
      </c>
      <c r="K1041" s="1" t="s">
        <v>306</v>
      </c>
      <c r="L1041" s="1" t="s">
        <v>70</v>
      </c>
      <c r="M1041" s="1" t="s">
        <v>71</v>
      </c>
      <c r="N1041" s="1" t="s">
        <v>72</v>
      </c>
      <c r="O1041" s="1" t="s">
        <v>64</v>
      </c>
      <c r="P1041" s="1" t="s">
        <v>73</v>
      </c>
      <c r="R1041" s="93">
        <v>43190</v>
      </c>
      <c r="S1041" s="93" t="s">
        <v>2770</v>
      </c>
    </row>
    <row r="1042" spans="1:19">
      <c r="A1042" s="92">
        <v>43190</v>
      </c>
      <c r="C1042" s="1" t="s">
        <v>56</v>
      </c>
      <c r="E1042" s="98" t="s">
        <v>1615</v>
      </c>
      <c r="F1042" s="1" t="s">
        <v>1616</v>
      </c>
      <c r="G1042" s="1" t="s">
        <v>2653</v>
      </c>
      <c r="H1042" s="1">
        <v>5</v>
      </c>
      <c r="I1042" s="1" t="s">
        <v>1594</v>
      </c>
      <c r="J1042" s="1">
        <v>5</v>
      </c>
      <c r="K1042" s="1" t="s">
        <v>1616</v>
      </c>
      <c r="L1042" s="1" t="s">
        <v>253</v>
      </c>
      <c r="M1042" s="1" t="s">
        <v>94</v>
      </c>
      <c r="N1042" s="1" t="s">
        <v>72</v>
      </c>
      <c r="O1042" s="1" t="s">
        <v>64</v>
      </c>
      <c r="P1042" s="1" t="s">
        <v>95</v>
      </c>
      <c r="R1042" s="93">
        <v>43190</v>
      </c>
      <c r="S1042" s="93" t="s">
        <v>2770</v>
      </c>
    </row>
    <row r="1043" spans="1:19">
      <c r="A1043" s="92">
        <v>43190</v>
      </c>
      <c r="C1043" s="1" t="s">
        <v>56</v>
      </c>
      <c r="E1043" s="98" t="s">
        <v>1622</v>
      </c>
      <c r="F1043" s="1" t="s">
        <v>434</v>
      </c>
      <c r="G1043" s="1" t="s">
        <v>2656</v>
      </c>
      <c r="H1043" s="1">
        <v>0.8</v>
      </c>
      <c r="I1043" s="1" t="s">
        <v>1594</v>
      </c>
      <c r="J1043" s="1">
        <v>0.8</v>
      </c>
      <c r="K1043" s="1" t="s">
        <v>434</v>
      </c>
      <c r="L1043" s="1" t="s">
        <v>269</v>
      </c>
      <c r="M1043" s="1" t="s">
        <v>132</v>
      </c>
      <c r="N1043" s="1" t="s">
        <v>72</v>
      </c>
      <c r="O1043" s="1" t="s">
        <v>64</v>
      </c>
      <c r="P1043" s="1" t="s">
        <v>133</v>
      </c>
      <c r="R1043" s="93">
        <v>43190</v>
      </c>
      <c r="S1043" s="93" t="s">
        <v>2770</v>
      </c>
    </row>
    <row r="1044" spans="1:19">
      <c r="A1044" s="92">
        <v>43190</v>
      </c>
      <c r="C1044" s="1" t="s">
        <v>56</v>
      </c>
      <c r="E1044" s="98" t="s">
        <v>1623</v>
      </c>
      <c r="F1044" s="1" t="s">
        <v>1624</v>
      </c>
      <c r="G1044" s="1" t="s">
        <v>2657</v>
      </c>
      <c r="H1044" s="1">
        <v>5</v>
      </c>
      <c r="I1044" s="1" t="s">
        <v>1594</v>
      </c>
      <c r="J1044" s="1">
        <v>5</v>
      </c>
      <c r="K1044" s="1" t="s">
        <v>70</v>
      </c>
      <c r="L1044" s="1" t="s">
        <v>70</v>
      </c>
      <c r="M1044" s="1" t="s">
        <v>71</v>
      </c>
      <c r="N1044" s="1" t="s">
        <v>72</v>
      </c>
      <c r="O1044" s="1" t="s">
        <v>64</v>
      </c>
      <c r="P1044" s="1" t="s">
        <v>73</v>
      </c>
      <c r="R1044" s="93">
        <v>43190</v>
      </c>
      <c r="S1044" s="93" t="s">
        <v>2770</v>
      </c>
    </row>
    <row r="1045" spans="1:19">
      <c r="A1045" s="92">
        <v>43190</v>
      </c>
      <c r="C1045" s="1" t="s">
        <v>56</v>
      </c>
      <c r="E1045" s="98" t="s">
        <v>1623</v>
      </c>
      <c r="F1045" s="1" t="s">
        <v>1624</v>
      </c>
      <c r="G1045" s="1" t="s">
        <v>2657</v>
      </c>
      <c r="H1045" s="1">
        <v>5</v>
      </c>
      <c r="I1045" s="1" t="s">
        <v>1594</v>
      </c>
      <c r="J1045" s="1">
        <v>5</v>
      </c>
      <c r="K1045" s="1" t="s">
        <v>70</v>
      </c>
      <c r="L1045" s="1" t="s">
        <v>70</v>
      </c>
      <c r="M1045" s="1" t="s">
        <v>71</v>
      </c>
      <c r="N1045" s="1" t="s">
        <v>72</v>
      </c>
      <c r="O1045" s="1" t="s">
        <v>64</v>
      </c>
      <c r="P1045" s="1" t="s">
        <v>73</v>
      </c>
      <c r="R1045" s="93">
        <v>43190</v>
      </c>
      <c r="S1045" s="93" t="s">
        <v>2770</v>
      </c>
    </row>
    <row r="1046" spans="1:19">
      <c r="A1046" s="92">
        <v>43190</v>
      </c>
      <c r="C1046" s="1" t="s">
        <v>66</v>
      </c>
      <c r="E1046" s="98" t="s">
        <v>1625</v>
      </c>
      <c r="F1046" s="1" t="s">
        <v>1626</v>
      </c>
      <c r="G1046" s="1" t="s">
        <v>2658</v>
      </c>
      <c r="H1046" s="1">
        <v>4</v>
      </c>
      <c r="I1046" s="1" t="s">
        <v>1594</v>
      </c>
      <c r="J1046" s="1">
        <v>4</v>
      </c>
      <c r="K1046" s="1" t="s">
        <v>124</v>
      </c>
      <c r="L1046" s="1" t="s">
        <v>117</v>
      </c>
      <c r="M1046" s="1" t="s">
        <v>2661</v>
      </c>
      <c r="N1046" s="1" t="s">
        <v>72</v>
      </c>
      <c r="O1046" s="1" t="s">
        <v>64</v>
      </c>
      <c r="P1046" s="1" t="s">
        <v>53</v>
      </c>
      <c r="R1046" s="93">
        <v>43190</v>
      </c>
      <c r="S1046" s="93" t="s">
        <v>2770</v>
      </c>
    </row>
    <row r="1047" spans="1:19">
      <c r="A1047" s="92">
        <v>43190</v>
      </c>
      <c r="C1047" s="1" t="s">
        <v>66</v>
      </c>
      <c r="E1047" s="98" t="s">
        <v>1627</v>
      </c>
      <c r="F1047" s="1" t="s">
        <v>1628</v>
      </c>
      <c r="G1047" s="1" t="s">
        <v>2659</v>
      </c>
      <c r="H1047" s="1">
        <v>2</v>
      </c>
      <c r="I1047" s="1" t="s">
        <v>1594</v>
      </c>
      <c r="J1047" s="1">
        <v>2</v>
      </c>
      <c r="K1047" s="1" t="s">
        <v>1206</v>
      </c>
      <c r="L1047" s="1" t="s">
        <v>281</v>
      </c>
      <c r="M1047" s="1" t="s">
        <v>71</v>
      </c>
      <c r="N1047" s="1" t="s">
        <v>72</v>
      </c>
      <c r="O1047" s="1" t="s">
        <v>64</v>
      </c>
      <c r="P1047" s="1" t="s">
        <v>73</v>
      </c>
      <c r="R1047" s="93">
        <v>43190</v>
      </c>
      <c r="S1047" s="93" t="s">
        <v>2770</v>
      </c>
    </row>
    <row r="1048" spans="1:19">
      <c r="A1048" s="92">
        <v>43190</v>
      </c>
      <c r="C1048" s="1" t="s">
        <v>66</v>
      </c>
      <c r="E1048" s="98" t="s">
        <v>1627</v>
      </c>
      <c r="F1048" s="1" t="s">
        <v>1628</v>
      </c>
      <c r="G1048" s="1" t="s">
        <v>2659</v>
      </c>
      <c r="H1048" s="1">
        <v>3</v>
      </c>
      <c r="I1048" s="1" t="s">
        <v>1594</v>
      </c>
      <c r="J1048" s="1">
        <v>3</v>
      </c>
      <c r="K1048" s="1" t="s">
        <v>1206</v>
      </c>
      <c r="L1048" s="1" t="s">
        <v>281</v>
      </c>
      <c r="M1048" s="1" t="s">
        <v>71</v>
      </c>
      <c r="N1048" s="1" t="s">
        <v>72</v>
      </c>
      <c r="O1048" s="1" t="s">
        <v>64</v>
      </c>
      <c r="P1048" s="1" t="s">
        <v>73</v>
      </c>
      <c r="R1048" s="93">
        <v>43190</v>
      </c>
      <c r="S1048" s="93" t="s">
        <v>2770</v>
      </c>
    </row>
    <row r="1049" spans="1:19">
      <c r="A1049" s="92">
        <v>43190</v>
      </c>
      <c r="C1049" s="1" t="s">
        <v>56</v>
      </c>
      <c r="E1049" s="98" t="s">
        <v>1629</v>
      </c>
      <c r="F1049" s="1" t="s">
        <v>1630</v>
      </c>
      <c r="G1049" s="1" t="s">
        <v>2660</v>
      </c>
      <c r="H1049" s="1">
        <v>32</v>
      </c>
      <c r="I1049" s="1" t="s">
        <v>1594</v>
      </c>
      <c r="J1049" s="1">
        <v>32</v>
      </c>
      <c r="K1049" s="1" t="s">
        <v>1156</v>
      </c>
      <c r="L1049" s="1" t="s">
        <v>150</v>
      </c>
      <c r="M1049" s="1" t="s">
        <v>132</v>
      </c>
      <c r="N1049" s="1" t="s">
        <v>72</v>
      </c>
      <c r="O1049" s="1" t="s">
        <v>64</v>
      </c>
      <c r="P1049" s="1" t="s">
        <v>133</v>
      </c>
      <c r="R1049" s="93">
        <v>43190</v>
      </c>
      <c r="S1049" s="93" t="s">
        <v>2770</v>
      </c>
    </row>
    <row r="1050" spans="1:19">
      <c r="A1050" s="92">
        <v>43190</v>
      </c>
      <c r="C1050" s="1" t="s">
        <v>56</v>
      </c>
      <c r="E1050" s="98" t="s">
        <v>1176</v>
      </c>
      <c r="F1050" s="1" t="s">
        <v>1177</v>
      </c>
      <c r="G1050" s="1" t="s">
        <v>2482</v>
      </c>
      <c r="H1050" s="1">
        <v>0.5</v>
      </c>
      <c r="I1050" s="1" t="s">
        <v>1594</v>
      </c>
      <c r="J1050" s="1">
        <v>0.5</v>
      </c>
      <c r="K1050" s="1" t="s">
        <v>277</v>
      </c>
      <c r="L1050" s="1" t="s">
        <v>269</v>
      </c>
      <c r="M1050" s="1" t="s">
        <v>132</v>
      </c>
      <c r="N1050" s="1" t="s">
        <v>72</v>
      </c>
      <c r="O1050" s="1" t="s">
        <v>64</v>
      </c>
      <c r="P1050" s="1" t="s">
        <v>133</v>
      </c>
      <c r="R1050" s="93">
        <v>43190</v>
      </c>
      <c r="S1050" s="93" t="s">
        <v>2770</v>
      </c>
    </row>
    <row r="1051" spans="1:19">
      <c r="A1051" s="92">
        <v>43162</v>
      </c>
      <c r="C1051" s="1" t="s">
        <v>66</v>
      </c>
      <c r="E1051" s="98" t="s">
        <v>1964</v>
      </c>
      <c r="F1051" s="1" t="s">
        <v>1966</v>
      </c>
      <c r="G1051" s="1">
        <v>18952038866</v>
      </c>
      <c r="H1051" s="1">
        <v>1</v>
      </c>
      <c r="I1051" s="1" t="s">
        <v>360</v>
      </c>
      <c r="J1051" s="1">
        <v>0.3</v>
      </c>
      <c r="K1051" s="1" t="s">
        <v>167</v>
      </c>
      <c r="L1051" s="1" t="s">
        <v>117</v>
      </c>
      <c r="M1051" s="1" t="s">
        <v>2661</v>
      </c>
      <c r="N1051" s="1" t="s">
        <v>72</v>
      </c>
      <c r="O1051" s="1" t="s">
        <v>64</v>
      </c>
      <c r="P1051" s="1" t="s">
        <v>53</v>
      </c>
      <c r="R1051" s="93">
        <v>43162</v>
      </c>
      <c r="S1051" s="93">
        <v>43254</v>
      </c>
    </row>
    <row r="1052" spans="1:19">
      <c r="A1052" s="92">
        <v>43180</v>
      </c>
      <c r="C1052" s="1" t="s">
        <v>66</v>
      </c>
      <c r="E1052" s="98" t="s">
        <v>1965</v>
      </c>
      <c r="F1052" s="1" t="s">
        <v>1967</v>
      </c>
      <c r="G1052" s="1">
        <v>18915934206</v>
      </c>
      <c r="H1052" s="1">
        <v>5</v>
      </c>
      <c r="I1052" s="1" t="s">
        <v>1242</v>
      </c>
      <c r="J1052" s="1">
        <v>1.5</v>
      </c>
      <c r="K1052" s="1" t="s">
        <v>167</v>
      </c>
      <c r="L1052" s="1" t="s">
        <v>117</v>
      </c>
      <c r="M1052" s="1" t="s">
        <v>2661</v>
      </c>
      <c r="N1052" s="1" t="s">
        <v>72</v>
      </c>
      <c r="O1052" s="1" t="s">
        <v>64</v>
      </c>
      <c r="P1052" s="1" t="s">
        <v>53</v>
      </c>
      <c r="R1052" s="93">
        <v>43180</v>
      </c>
      <c r="S1052" s="93">
        <v>43272</v>
      </c>
    </row>
    <row r="1053" spans="1:19">
      <c r="A1053" s="92">
        <v>43160</v>
      </c>
      <c r="C1053" s="1" t="s">
        <v>56</v>
      </c>
      <c r="E1053" s="98" t="s">
        <v>1638</v>
      </c>
      <c r="F1053" s="1" t="s">
        <v>1639</v>
      </c>
      <c r="G1053" s="1">
        <v>13601815881</v>
      </c>
      <c r="H1053" s="1">
        <v>1</v>
      </c>
      <c r="I1053" s="1" t="s">
        <v>1633</v>
      </c>
      <c r="J1053" s="1">
        <v>0.1</v>
      </c>
      <c r="K1053" s="1" t="s">
        <v>773</v>
      </c>
      <c r="L1053" s="1" t="s">
        <v>187</v>
      </c>
      <c r="M1053" s="1" t="s">
        <v>78</v>
      </c>
      <c r="N1053" s="1" t="s">
        <v>79</v>
      </c>
      <c r="O1053" s="1" t="s">
        <v>80</v>
      </c>
      <c r="P1053" s="1" t="s">
        <v>81</v>
      </c>
      <c r="R1053" s="93">
        <v>43160</v>
      </c>
      <c r="S1053" s="93">
        <v>43191</v>
      </c>
    </row>
    <row r="1054" spans="1:19">
      <c r="A1054" s="92">
        <v>43160</v>
      </c>
      <c r="C1054" s="1" t="s">
        <v>56</v>
      </c>
      <c r="E1054" s="98" t="s">
        <v>1638</v>
      </c>
      <c r="F1054" s="1" t="s">
        <v>1639</v>
      </c>
      <c r="G1054" s="1">
        <v>13601815881</v>
      </c>
      <c r="H1054" s="1">
        <v>2</v>
      </c>
      <c r="I1054" s="1" t="s">
        <v>1633</v>
      </c>
      <c r="J1054" s="1">
        <v>0.2</v>
      </c>
      <c r="K1054" s="1" t="s">
        <v>773</v>
      </c>
      <c r="L1054" s="1" t="s">
        <v>187</v>
      </c>
      <c r="M1054" s="1" t="s">
        <v>78</v>
      </c>
      <c r="N1054" s="1" t="s">
        <v>79</v>
      </c>
      <c r="O1054" s="1" t="s">
        <v>80</v>
      </c>
      <c r="P1054" s="1" t="s">
        <v>81</v>
      </c>
      <c r="R1054" s="93">
        <v>43160</v>
      </c>
      <c r="S1054" s="93">
        <v>43191</v>
      </c>
    </row>
    <row r="1055" spans="1:19">
      <c r="A1055" s="92">
        <v>43160</v>
      </c>
      <c r="C1055" s="1" t="s">
        <v>56</v>
      </c>
      <c r="E1055" s="98" t="s">
        <v>1641</v>
      </c>
      <c r="F1055" s="1" t="s">
        <v>1642</v>
      </c>
      <c r="G1055" s="1">
        <v>13901939855</v>
      </c>
      <c r="H1055" s="1">
        <v>0.1</v>
      </c>
      <c r="I1055" s="1" t="s">
        <v>1633</v>
      </c>
      <c r="J1055" s="1">
        <v>0.01</v>
      </c>
      <c r="K1055" s="1" t="s">
        <v>773</v>
      </c>
      <c r="L1055" s="1" t="s">
        <v>187</v>
      </c>
      <c r="M1055" s="1" t="s">
        <v>78</v>
      </c>
      <c r="N1055" s="1" t="s">
        <v>79</v>
      </c>
      <c r="O1055" s="1" t="s">
        <v>80</v>
      </c>
      <c r="P1055" s="1" t="s">
        <v>81</v>
      </c>
      <c r="R1055" s="93">
        <v>43160</v>
      </c>
      <c r="S1055" s="93">
        <v>43191</v>
      </c>
    </row>
    <row r="1056" spans="1:19">
      <c r="A1056" s="92">
        <v>43160</v>
      </c>
      <c r="C1056" s="1" t="s">
        <v>56</v>
      </c>
      <c r="E1056" s="98" t="s">
        <v>1643</v>
      </c>
      <c r="F1056" s="1" t="s">
        <v>1644</v>
      </c>
      <c r="G1056" s="1">
        <v>13918508294</v>
      </c>
      <c r="H1056" s="1">
        <v>2</v>
      </c>
      <c r="I1056" s="1" t="s">
        <v>1633</v>
      </c>
      <c r="J1056" s="1">
        <v>0.2</v>
      </c>
      <c r="K1056" s="1" t="s">
        <v>385</v>
      </c>
      <c r="L1056" s="1" t="s">
        <v>187</v>
      </c>
      <c r="M1056" s="1" t="s">
        <v>78</v>
      </c>
      <c r="N1056" s="1" t="s">
        <v>79</v>
      </c>
      <c r="O1056" s="1" t="s">
        <v>80</v>
      </c>
      <c r="P1056" s="1" t="s">
        <v>81</v>
      </c>
      <c r="R1056" s="93">
        <v>43160</v>
      </c>
      <c r="S1056" s="93">
        <v>43191</v>
      </c>
    </row>
    <row r="1057" spans="1:19">
      <c r="A1057" s="92">
        <v>43172</v>
      </c>
      <c r="C1057" s="1" t="s">
        <v>56</v>
      </c>
      <c r="E1057" s="98" t="s">
        <v>1661</v>
      </c>
      <c r="F1057" s="1" t="s">
        <v>1662</v>
      </c>
      <c r="G1057" s="1" t="s">
        <v>2776</v>
      </c>
      <c r="H1057" s="1">
        <v>5</v>
      </c>
      <c r="I1057" s="1" t="s">
        <v>1663</v>
      </c>
      <c r="J1057" s="1">
        <v>0.35</v>
      </c>
      <c r="K1057" s="1" t="s">
        <v>187</v>
      </c>
      <c r="L1057" s="1" t="s">
        <v>187</v>
      </c>
      <c r="M1057" s="1" t="s">
        <v>78</v>
      </c>
      <c r="N1057" s="1" t="s">
        <v>79</v>
      </c>
      <c r="O1057" s="1" t="s">
        <v>80</v>
      </c>
      <c r="P1057" s="1" t="s">
        <v>81</v>
      </c>
      <c r="R1057" s="93">
        <v>43172</v>
      </c>
      <c r="S1057" s="93" t="s">
        <v>2683</v>
      </c>
    </row>
    <row r="1058" spans="1:19">
      <c r="A1058" s="92">
        <v>43183</v>
      </c>
      <c r="C1058" s="1" t="s">
        <v>56</v>
      </c>
      <c r="E1058" s="98" t="s">
        <v>1664</v>
      </c>
      <c r="F1058" s="1" t="s">
        <v>1665</v>
      </c>
      <c r="G1058" s="1" t="s">
        <v>2777</v>
      </c>
      <c r="H1058" s="1">
        <v>0.3</v>
      </c>
      <c r="I1058" s="1" t="s">
        <v>1666</v>
      </c>
      <c r="J1058" s="1">
        <v>2.1000000000000001E-2</v>
      </c>
      <c r="K1058" s="1" t="s">
        <v>187</v>
      </c>
      <c r="L1058" s="1" t="s">
        <v>187</v>
      </c>
      <c r="M1058" s="1" t="s">
        <v>78</v>
      </c>
      <c r="N1058" s="1" t="s">
        <v>79</v>
      </c>
      <c r="O1058" s="1" t="s">
        <v>80</v>
      </c>
      <c r="P1058" s="1" t="s">
        <v>81</v>
      </c>
      <c r="R1058" s="93">
        <v>43183</v>
      </c>
      <c r="S1058" s="93" t="s">
        <v>2668</v>
      </c>
    </row>
    <row r="1059" spans="1:19">
      <c r="A1059" s="92">
        <v>43175</v>
      </c>
      <c r="C1059" s="1" t="s">
        <v>56</v>
      </c>
      <c r="E1059" s="98" t="s">
        <v>354</v>
      </c>
      <c r="F1059" s="1" t="s">
        <v>355</v>
      </c>
      <c r="G1059" s="1" t="s">
        <v>2778</v>
      </c>
      <c r="H1059" s="1">
        <v>0.35</v>
      </c>
      <c r="I1059" s="1" t="s">
        <v>1670</v>
      </c>
      <c r="J1059" s="1">
        <v>2.4499999999999997E-2</v>
      </c>
      <c r="K1059" s="1" t="s">
        <v>356</v>
      </c>
      <c r="L1059" s="1" t="s">
        <v>187</v>
      </c>
      <c r="M1059" s="1" t="s">
        <v>78</v>
      </c>
      <c r="N1059" s="1" t="s">
        <v>79</v>
      </c>
      <c r="O1059" s="1" t="s">
        <v>80</v>
      </c>
      <c r="P1059" s="1" t="s">
        <v>81</v>
      </c>
      <c r="R1059" s="93">
        <v>43175</v>
      </c>
      <c r="S1059" s="93" t="s">
        <v>2665</v>
      </c>
    </row>
    <row r="1060" spans="1:19">
      <c r="A1060" s="92">
        <v>43183</v>
      </c>
      <c r="C1060" s="1" t="s">
        <v>56</v>
      </c>
      <c r="E1060" s="98" t="s">
        <v>913</v>
      </c>
      <c r="F1060" s="1" t="s">
        <v>914</v>
      </c>
      <c r="G1060" s="1" t="s">
        <v>2779</v>
      </c>
      <c r="H1060" s="1">
        <v>5</v>
      </c>
      <c r="I1060" s="1" t="s">
        <v>1666</v>
      </c>
      <c r="J1060" s="1">
        <v>0.35</v>
      </c>
      <c r="K1060" s="1" t="s">
        <v>189</v>
      </c>
      <c r="L1060" s="1" t="s">
        <v>77</v>
      </c>
      <c r="M1060" s="1" t="s">
        <v>78</v>
      </c>
      <c r="N1060" s="1" t="s">
        <v>79</v>
      </c>
      <c r="O1060" s="1" t="s">
        <v>80</v>
      </c>
      <c r="P1060" s="1" t="s">
        <v>81</v>
      </c>
      <c r="R1060" s="93">
        <v>43183</v>
      </c>
      <c r="S1060" s="93" t="s">
        <v>2668</v>
      </c>
    </row>
    <row r="1061" spans="1:19">
      <c r="A1061" s="92">
        <v>43171</v>
      </c>
      <c r="C1061" s="1" t="s">
        <v>56</v>
      </c>
      <c r="E1061" s="98" t="s">
        <v>1216</v>
      </c>
      <c r="F1061" s="1" t="s">
        <v>1217</v>
      </c>
      <c r="G1061" s="1" t="s">
        <v>2780</v>
      </c>
      <c r="H1061" s="1">
        <v>1</v>
      </c>
      <c r="I1061" s="1" t="s">
        <v>1685</v>
      </c>
      <c r="J1061" s="1">
        <v>7.0000000000000007E-2</v>
      </c>
      <c r="K1061" s="1" t="s">
        <v>161</v>
      </c>
      <c r="L1061" s="1" t="s">
        <v>77</v>
      </c>
      <c r="M1061" s="1" t="s">
        <v>78</v>
      </c>
      <c r="N1061" s="1" t="s">
        <v>79</v>
      </c>
      <c r="O1061" s="1" t="s">
        <v>80</v>
      </c>
      <c r="P1061" s="1" t="s">
        <v>81</v>
      </c>
      <c r="R1061" s="93">
        <v>43171</v>
      </c>
      <c r="S1061" s="93" t="s">
        <v>2683</v>
      </c>
    </row>
    <row r="1062" spans="1:19">
      <c r="A1062" s="92">
        <v>43171</v>
      </c>
      <c r="C1062" s="1" t="s">
        <v>56</v>
      </c>
      <c r="E1062" s="98" t="s">
        <v>1216</v>
      </c>
      <c r="F1062" s="1" t="s">
        <v>1217</v>
      </c>
      <c r="G1062" s="1" t="s">
        <v>2780</v>
      </c>
      <c r="H1062" s="1">
        <v>0.3</v>
      </c>
      <c r="I1062" s="1" t="s">
        <v>1685</v>
      </c>
      <c r="J1062" s="1">
        <v>2.1000000000000001E-2</v>
      </c>
      <c r="K1062" s="1" t="s">
        <v>161</v>
      </c>
      <c r="L1062" s="1" t="s">
        <v>77</v>
      </c>
      <c r="M1062" s="1" t="s">
        <v>78</v>
      </c>
      <c r="N1062" s="1" t="s">
        <v>79</v>
      </c>
      <c r="O1062" s="1" t="s">
        <v>80</v>
      </c>
      <c r="P1062" s="1" t="s">
        <v>81</v>
      </c>
      <c r="R1062" s="93">
        <v>43171</v>
      </c>
      <c r="S1062" s="93" t="s">
        <v>2683</v>
      </c>
    </row>
    <row r="1063" spans="1:19">
      <c r="A1063" s="92">
        <v>43181</v>
      </c>
      <c r="C1063" s="1" t="s">
        <v>56</v>
      </c>
      <c r="E1063" s="98" t="s">
        <v>1216</v>
      </c>
      <c r="F1063" s="1" t="s">
        <v>1217</v>
      </c>
      <c r="G1063" s="1" t="s">
        <v>2780</v>
      </c>
      <c r="H1063" s="1">
        <v>0.8</v>
      </c>
      <c r="I1063" s="1" t="s">
        <v>1686</v>
      </c>
      <c r="J1063" s="1">
        <v>5.6000000000000001E-2</v>
      </c>
      <c r="K1063" s="1" t="s">
        <v>161</v>
      </c>
      <c r="L1063" s="1" t="s">
        <v>77</v>
      </c>
      <c r="M1063" s="1" t="s">
        <v>78</v>
      </c>
      <c r="N1063" s="1" t="s">
        <v>79</v>
      </c>
      <c r="O1063" s="1" t="s">
        <v>80</v>
      </c>
      <c r="P1063" s="1" t="s">
        <v>81</v>
      </c>
      <c r="R1063" s="93">
        <v>43181</v>
      </c>
      <c r="S1063" s="93" t="s">
        <v>2662</v>
      </c>
    </row>
    <row r="1064" spans="1:19">
      <c r="A1064" s="92">
        <v>43160</v>
      </c>
      <c r="C1064" s="1" t="s">
        <v>56</v>
      </c>
      <c r="E1064" s="98" t="s">
        <v>1687</v>
      </c>
      <c r="F1064" s="1" t="s">
        <v>1688</v>
      </c>
      <c r="G1064" s="1" t="s">
        <v>2781</v>
      </c>
      <c r="H1064" s="1">
        <v>0.84</v>
      </c>
      <c r="I1064" s="1" t="s">
        <v>1689</v>
      </c>
      <c r="J1064" s="1">
        <v>5.8799999999999998E-2</v>
      </c>
      <c r="K1064" s="1" t="s">
        <v>596</v>
      </c>
      <c r="L1064" s="1" t="s">
        <v>77</v>
      </c>
      <c r="M1064" s="1" t="s">
        <v>78</v>
      </c>
      <c r="N1064" s="1" t="s">
        <v>79</v>
      </c>
      <c r="O1064" s="1" t="s">
        <v>80</v>
      </c>
      <c r="P1064" s="1" t="s">
        <v>81</v>
      </c>
      <c r="R1064" s="93">
        <v>43160</v>
      </c>
      <c r="S1064" s="93" t="s">
        <v>2696</v>
      </c>
    </row>
    <row r="1065" spans="1:19">
      <c r="A1065" s="92">
        <v>43169</v>
      </c>
      <c r="C1065" s="1" t="s">
        <v>56</v>
      </c>
      <c r="E1065" s="98" t="s">
        <v>1687</v>
      </c>
      <c r="F1065" s="1" t="s">
        <v>1688</v>
      </c>
      <c r="G1065" s="1" t="s">
        <v>2781</v>
      </c>
      <c r="H1065" s="1">
        <v>0.3</v>
      </c>
      <c r="I1065" s="1" t="s">
        <v>1690</v>
      </c>
      <c r="J1065" s="1">
        <v>2.1000000000000001E-2</v>
      </c>
      <c r="K1065" s="1" t="s">
        <v>596</v>
      </c>
      <c r="L1065" s="1" t="s">
        <v>77</v>
      </c>
      <c r="M1065" s="1" t="s">
        <v>78</v>
      </c>
      <c r="N1065" s="1" t="s">
        <v>79</v>
      </c>
      <c r="O1065" s="1" t="s">
        <v>80</v>
      </c>
      <c r="P1065" s="1" t="s">
        <v>81</v>
      </c>
      <c r="R1065" s="93">
        <v>43169</v>
      </c>
      <c r="S1065" s="93" t="s">
        <v>2669</v>
      </c>
    </row>
    <row r="1066" spans="1:19">
      <c r="A1066" s="92">
        <v>43181</v>
      </c>
      <c r="C1066" s="1" t="s">
        <v>56</v>
      </c>
      <c r="E1066" s="98" t="s">
        <v>771</v>
      </c>
      <c r="F1066" s="1" t="s">
        <v>772</v>
      </c>
      <c r="G1066" s="1" t="s">
        <v>2782</v>
      </c>
      <c r="H1066" s="1">
        <v>1</v>
      </c>
      <c r="I1066" s="1" t="s">
        <v>1717</v>
      </c>
      <c r="J1066" s="1">
        <v>7.0000000000000007E-2</v>
      </c>
      <c r="K1066" s="1" t="s">
        <v>773</v>
      </c>
      <c r="L1066" s="1" t="s">
        <v>187</v>
      </c>
      <c r="M1066" s="1" t="s">
        <v>78</v>
      </c>
      <c r="N1066" s="1" t="s">
        <v>79</v>
      </c>
      <c r="O1066" s="1" t="s">
        <v>80</v>
      </c>
      <c r="P1066" s="1" t="s">
        <v>81</v>
      </c>
      <c r="R1066" s="93">
        <v>43181</v>
      </c>
      <c r="S1066" s="93" t="s">
        <v>2678</v>
      </c>
    </row>
    <row r="1067" spans="1:19">
      <c r="A1067" s="92">
        <v>43172</v>
      </c>
      <c r="C1067" s="1" t="s">
        <v>56</v>
      </c>
      <c r="E1067" s="98" t="s">
        <v>1291</v>
      </c>
      <c r="F1067" s="1" t="s">
        <v>1292</v>
      </c>
      <c r="G1067" s="1" t="s">
        <v>2783</v>
      </c>
      <c r="H1067" s="1">
        <v>3</v>
      </c>
      <c r="I1067" s="1" t="s">
        <v>1788</v>
      </c>
      <c r="J1067" s="1">
        <v>1.26</v>
      </c>
      <c r="K1067" s="1" t="s">
        <v>773</v>
      </c>
      <c r="L1067" s="1" t="s">
        <v>187</v>
      </c>
      <c r="M1067" s="1" t="s">
        <v>78</v>
      </c>
      <c r="N1067" s="1" t="s">
        <v>79</v>
      </c>
      <c r="O1067" s="1" t="s">
        <v>80</v>
      </c>
      <c r="P1067" s="1" t="s">
        <v>81</v>
      </c>
      <c r="R1067" s="93">
        <v>43172</v>
      </c>
      <c r="S1067" s="93" t="s">
        <v>2715</v>
      </c>
    </row>
    <row r="1068" spans="1:19">
      <c r="A1068" s="92">
        <v>43183</v>
      </c>
      <c r="C1068" s="1" t="s">
        <v>56</v>
      </c>
      <c r="E1068" s="98" t="s">
        <v>1789</v>
      </c>
      <c r="F1068" s="1" t="s">
        <v>1790</v>
      </c>
      <c r="G1068" s="1" t="s">
        <v>2784</v>
      </c>
      <c r="H1068" s="1">
        <v>5</v>
      </c>
      <c r="I1068" s="1" t="s">
        <v>1791</v>
      </c>
      <c r="J1068" s="1">
        <v>0.35</v>
      </c>
      <c r="K1068" s="1" t="s">
        <v>480</v>
      </c>
      <c r="L1068" s="1" t="s">
        <v>187</v>
      </c>
      <c r="M1068" s="1" t="s">
        <v>78</v>
      </c>
      <c r="N1068" s="1" t="s">
        <v>79</v>
      </c>
      <c r="O1068" s="1" t="s">
        <v>80</v>
      </c>
      <c r="P1068" s="1" t="s">
        <v>81</v>
      </c>
      <c r="R1068" s="93">
        <v>43183</v>
      </c>
      <c r="S1068" s="93" t="s">
        <v>2662</v>
      </c>
    </row>
    <row r="1069" spans="1:19">
      <c r="A1069" s="92">
        <v>43176</v>
      </c>
      <c r="C1069" s="1" t="s">
        <v>56</v>
      </c>
      <c r="E1069" s="98" t="s">
        <v>1312</v>
      </c>
      <c r="F1069" s="1" t="s">
        <v>1313</v>
      </c>
      <c r="G1069" s="1" t="s">
        <v>2785</v>
      </c>
      <c r="H1069" s="1">
        <v>0.55000000000000004</v>
      </c>
      <c r="I1069" s="1" t="s">
        <v>1792</v>
      </c>
      <c r="J1069" s="1">
        <v>3.85E-2</v>
      </c>
      <c r="K1069" s="1" t="s">
        <v>480</v>
      </c>
      <c r="L1069" s="1" t="s">
        <v>187</v>
      </c>
      <c r="M1069" s="1" t="s">
        <v>78</v>
      </c>
      <c r="N1069" s="1" t="s">
        <v>79</v>
      </c>
      <c r="O1069" s="1" t="s">
        <v>80</v>
      </c>
      <c r="P1069" s="1" t="s">
        <v>81</v>
      </c>
      <c r="R1069" s="93">
        <v>43176</v>
      </c>
      <c r="S1069" s="93" t="s">
        <v>2667</v>
      </c>
    </row>
    <row r="1070" spans="1:19">
      <c r="A1070" s="92">
        <v>43176</v>
      </c>
      <c r="C1070" s="1" t="s">
        <v>56</v>
      </c>
      <c r="E1070" s="98" t="s">
        <v>1793</v>
      </c>
      <c r="F1070" s="1" t="s">
        <v>1794</v>
      </c>
      <c r="G1070" s="1" t="s">
        <v>2786</v>
      </c>
      <c r="H1070" s="1">
        <v>0.4</v>
      </c>
      <c r="I1070" s="1" t="s">
        <v>1795</v>
      </c>
      <c r="J1070" s="1">
        <v>2.8000000000000001E-2</v>
      </c>
      <c r="K1070" s="1" t="s">
        <v>189</v>
      </c>
      <c r="L1070" s="1" t="s">
        <v>77</v>
      </c>
      <c r="M1070" s="1" t="s">
        <v>78</v>
      </c>
      <c r="N1070" s="1" t="s">
        <v>79</v>
      </c>
      <c r="O1070" s="1" t="s">
        <v>80</v>
      </c>
      <c r="P1070" s="1" t="s">
        <v>81</v>
      </c>
      <c r="R1070" s="93">
        <v>43176</v>
      </c>
      <c r="S1070" s="93" t="s">
        <v>2682</v>
      </c>
    </row>
    <row r="1071" spans="1:19">
      <c r="A1071" s="92">
        <v>43181</v>
      </c>
      <c r="C1071" s="1" t="s">
        <v>56</v>
      </c>
      <c r="E1071" s="98" t="s">
        <v>1796</v>
      </c>
      <c r="F1071" s="1" t="s">
        <v>1797</v>
      </c>
      <c r="G1071" s="1" t="s">
        <v>2787</v>
      </c>
      <c r="H1071" s="1">
        <v>1</v>
      </c>
      <c r="I1071" s="1" t="s">
        <v>1686</v>
      </c>
      <c r="J1071" s="1">
        <v>7.0000000000000007E-2</v>
      </c>
      <c r="K1071" s="1" t="s">
        <v>161</v>
      </c>
      <c r="L1071" s="1" t="s">
        <v>77</v>
      </c>
      <c r="M1071" s="1" t="s">
        <v>78</v>
      </c>
      <c r="N1071" s="1" t="s">
        <v>79</v>
      </c>
      <c r="O1071" s="1" t="s">
        <v>80</v>
      </c>
      <c r="P1071" s="1" t="s">
        <v>81</v>
      </c>
      <c r="R1071" s="93">
        <v>43181</v>
      </c>
      <c r="S1071" s="93" t="s">
        <v>2662</v>
      </c>
    </row>
    <row r="1072" spans="1:19">
      <c r="A1072" s="92">
        <v>43164</v>
      </c>
      <c r="C1072" s="1" t="s">
        <v>56</v>
      </c>
      <c r="E1072" s="98" t="s">
        <v>1641</v>
      </c>
      <c r="F1072" s="1" t="s">
        <v>1642</v>
      </c>
      <c r="G1072" s="1" t="s">
        <v>2788</v>
      </c>
      <c r="H1072" s="1">
        <v>0.12</v>
      </c>
      <c r="I1072" s="1" t="s">
        <v>1802</v>
      </c>
      <c r="J1072" s="1">
        <v>8.3999999999999995E-3</v>
      </c>
      <c r="K1072" s="1" t="s">
        <v>773</v>
      </c>
      <c r="L1072" s="1" t="s">
        <v>187</v>
      </c>
      <c r="M1072" s="1" t="s">
        <v>78</v>
      </c>
      <c r="N1072" s="1" t="s">
        <v>79</v>
      </c>
      <c r="O1072" s="1" t="s">
        <v>80</v>
      </c>
      <c r="P1072" s="1" t="s">
        <v>81</v>
      </c>
      <c r="R1072" s="93">
        <v>43164</v>
      </c>
      <c r="S1072" s="93" t="s">
        <v>2691</v>
      </c>
    </row>
    <row r="1073" spans="1:19">
      <c r="A1073" s="92">
        <v>43164</v>
      </c>
      <c r="C1073" s="1" t="s">
        <v>56</v>
      </c>
      <c r="E1073" s="98" t="s">
        <v>1641</v>
      </c>
      <c r="F1073" s="1" t="s">
        <v>1642</v>
      </c>
      <c r="G1073" s="1" t="s">
        <v>2788</v>
      </c>
      <c r="H1073" s="1">
        <v>0.12</v>
      </c>
      <c r="I1073" s="1" t="s">
        <v>1802</v>
      </c>
      <c r="J1073" s="1">
        <v>8.3999999999999995E-3</v>
      </c>
      <c r="K1073" s="1" t="s">
        <v>773</v>
      </c>
      <c r="L1073" s="1" t="s">
        <v>187</v>
      </c>
      <c r="M1073" s="1" t="s">
        <v>78</v>
      </c>
      <c r="N1073" s="1" t="s">
        <v>79</v>
      </c>
      <c r="O1073" s="1" t="s">
        <v>80</v>
      </c>
      <c r="P1073" s="1" t="s">
        <v>81</v>
      </c>
      <c r="R1073" s="93">
        <v>43164</v>
      </c>
      <c r="S1073" s="93" t="s">
        <v>2692</v>
      </c>
    </row>
    <row r="1074" spans="1:19">
      <c r="A1074" s="92">
        <v>43176</v>
      </c>
      <c r="C1074" s="1" t="s">
        <v>56</v>
      </c>
      <c r="E1074" s="98" t="s">
        <v>1641</v>
      </c>
      <c r="F1074" s="1" t="s">
        <v>1642</v>
      </c>
      <c r="G1074" s="1" t="s">
        <v>2788</v>
      </c>
      <c r="H1074" s="1">
        <v>0.2</v>
      </c>
      <c r="I1074" s="1" t="s">
        <v>1698</v>
      </c>
      <c r="J1074" s="1">
        <v>1.4E-2</v>
      </c>
      <c r="K1074" s="1" t="s">
        <v>773</v>
      </c>
      <c r="L1074" s="1" t="s">
        <v>187</v>
      </c>
      <c r="M1074" s="1" t="s">
        <v>78</v>
      </c>
      <c r="N1074" s="1" t="s">
        <v>79</v>
      </c>
      <c r="O1074" s="1" t="s">
        <v>80</v>
      </c>
      <c r="P1074" s="1" t="s">
        <v>81</v>
      </c>
      <c r="R1074" s="93">
        <v>43176</v>
      </c>
      <c r="S1074" s="93" t="s">
        <v>2667</v>
      </c>
    </row>
    <row r="1075" spans="1:19">
      <c r="A1075" s="92">
        <v>43176</v>
      </c>
      <c r="C1075" s="1" t="s">
        <v>56</v>
      </c>
      <c r="E1075" s="98" t="s">
        <v>1641</v>
      </c>
      <c r="F1075" s="1" t="s">
        <v>1642</v>
      </c>
      <c r="G1075" s="1" t="s">
        <v>2788</v>
      </c>
      <c r="H1075" s="1">
        <v>0.2</v>
      </c>
      <c r="I1075" s="1" t="s">
        <v>1698</v>
      </c>
      <c r="J1075" s="1">
        <v>1.4E-2</v>
      </c>
      <c r="K1075" s="1" t="s">
        <v>773</v>
      </c>
      <c r="L1075" s="1" t="s">
        <v>187</v>
      </c>
      <c r="M1075" s="1" t="s">
        <v>78</v>
      </c>
      <c r="N1075" s="1" t="s">
        <v>79</v>
      </c>
      <c r="O1075" s="1" t="s">
        <v>80</v>
      </c>
      <c r="P1075" s="1" t="s">
        <v>81</v>
      </c>
      <c r="R1075" s="93">
        <v>43176</v>
      </c>
      <c r="S1075" s="93" t="s">
        <v>2667</v>
      </c>
    </row>
    <row r="1076" spans="1:19">
      <c r="A1076" s="92">
        <v>43180</v>
      </c>
      <c r="C1076" s="1" t="s">
        <v>56</v>
      </c>
      <c r="E1076" s="98" t="s">
        <v>1641</v>
      </c>
      <c r="F1076" s="1" t="s">
        <v>1642</v>
      </c>
      <c r="G1076" s="1" t="s">
        <v>2788</v>
      </c>
      <c r="H1076" s="1">
        <v>0.08</v>
      </c>
      <c r="I1076" s="1" t="s">
        <v>1761</v>
      </c>
      <c r="J1076" s="1">
        <v>5.5999999999999999E-3</v>
      </c>
      <c r="K1076" s="1" t="s">
        <v>773</v>
      </c>
      <c r="L1076" s="1" t="s">
        <v>187</v>
      </c>
      <c r="M1076" s="1" t="s">
        <v>78</v>
      </c>
      <c r="N1076" s="1" t="s">
        <v>79</v>
      </c>
      <c r="O1076" s="1" t="s">
        <v>80</v>
      </c>
      <c r="P1076" s="1" t="s">
        <v>81</v>
      </c>
      <c r="R1076" s="93">
        <v>43180</v>
      </c>
      <c r="S1076" s="93" t="s">
        <v>2687</v>
      </c>
    </row>
    <row r="1077" spans="1:19">
      <c r="A1077" s="92">
        <v>43170</v>
      </c>
      <c r="C1077" s="1" t="s">
        <v>56</v>
      </c>
      <c r="E1077" s="98" t="s">
        <v>1641</v>
      </c>
      <c r="F1077" s="1" t="s">
        <v>1642</v>
      </c>
      <c r="G1077" s="1" t="s">
        <v>2788</v>
      </c>
      <c r="H1077" s="1">
        <v>0.12</v>
      </c>
      <c r="I1077" s="1" t="s">
        <v>1811</v>
      </c>
      <c r="J1077" s="1">
        <v>8.3999999999999995E-3</v>
      </c>
      <c r="K1077" s="1" t="s">
        <v>773</v>
      </c>
      <c r="L1077" s="1" t="s">
        <v>187</v>
      </c>
      <c r="M1077" s="1" t="s">
        <v>78</v>
      </c>
      <c r="N1077" s="1" t="s">
        <v>79</v>
      </c>
      <c r="O1077" s="1" t="s">
        <v>80</v>
      </c>
      <c r="P1077" s="1" t="s">
        <v>81</v>
      </c>
      <c r="R1077" s="93">
        <v>43170</v>
      </c>
      <c r="S1077" s="93" t="s">
        <v>2666</v>
      </c>
    </row>
    <row r="1078" spans="1:19">
      <c r="A1078" s="92">
        <v>43165</v>
      </c>
      <c r="C1078" s="1" t="s">
        <v>56</v>
      </c>
      <c r="E1078" s="98" t="s">
        <v>1641</v>
      </c>
      <c r="F1078" s="1" t="s">
        <v>1642</v>
      </c>
      <c r="G1078" s="1" t="s">
        <v>2788</v>
      </c>
      <c r="H1078" s="1">
        <v>0.16</v>
      </c>
      <c r="I1078" s="1" t="s">
        <v>1812</v>
      </c>
      <c r="J1078" s="1">
        <v>1.12E-2</v>
      </c>
      <c r="K1078" s="1" t="s">
        <v>773</v>
      </c>
      <c r="L1078" s="1" t="s">
        <v>187</v>
      </c>
      <c r="M1078" s="1" t="s">
        <v>78</v>
      </c>
      <c r="N1078" s="1" t="s">
        <v>79</v>
      </c>
      <c r="O1078" s="1" t="s">
        <v>80</v>
      </c>
      <c r="P1078" s="1" t="s">
        <v>81</v>
      </c>
      <c r="R1078" s="93">
        <v>43165</v>
      </c>
      <c r="S1078" s="93" t="s">
        <v>2675</v>
      </c>
    </row>
    <row r="1079" spans="1:19">
      <c r="A1079" s="92">
        <v>43183</v>
      </c>
      <c r="C1079" s="1" t="s">
        <v>56</v>
      </c>
      <c r="E1079" s="98" t="s">
        <v>1277</v>
      </c>
      <c r="F1079" s="1" t="s">
        <v>178</v>
      </c>
      <c r="G1079" s="1" t="s">
        <v>2789</v>
      </c>
      <c r="H1079" s="1">
        <v>2</v>
      </c>
      <c r="I1079" s="1" t="s">
        <v>1666</v>
      </c>
      <c r="J1079" s="1">
        <v>0.14000000000000001</v>
      </c>
      <c r="K1079" s="1" t="s">
        <v>178</v>
      </c>
      <c r="L1079" s="1" t="s">
        <v>77</v>
      </c>
      <c r="M1079" s="1" t="s">
        <v>78</v>
      </c>
      <c r="N1079" s="1" t="s">
        <v>79</v>
      </c>
      <c r="O1079" s="1" t="s">
        <v>80</v>
      </c>
      <c r="P1079" s="1" t="s">
        <v>81</v>
      </c>
      <c r="R1079" s="93">
        <v>43183</v>
      </c>
      <c r="S1079" s="93" t="s">
        <v>2668</v>
      </c>
    </row>
    <row r="1080" spans="1:19">
      <c r="A1080" s="92">
        <v>43186</v>
      </c>
      <c r="C1080" s="1" t="s">
        <v>56</v>
      </c>
      <c r="E1080" s="98" t="s">
        <v>1284</v>
      </c>
      <c r="F1080" s="1" t="s">
        <v>596</v>
      </c>
      <c r="G1080" s="1" t="s">
        <v>2790</v>
      </c>
      <c r="H1080" s="1">
        <v>1</v>
      </c>
      <c r="I1080" s="1" t="s">
        <v>1813</v>
      </c>
      <c r="J1080" s="1">
        <v>7.0000000000000007E-2</v>
      </c>
      <c r="K1080" s="1" t="s">
        <v>596</v>
      </c>
      <c r="L1080" s="1" t="s">
        <v>77</v>
      </c>
      <c r="M1080" s="1" t="s">
        <v>78</v>
      </c>
      <c r="N1080" s="1" t="s">
        <v>79</v>
      </c>
      <c r="O1080" s="1" t="s">
        <v>80</v>
      </c>
      <c r="P1080" s="1" t="s">
        <v>81</v>
      </c>
      <c r="R1080" s="93">
        <v>43186</v>
      </c>
      <c r="S1080" s="93" t="s">
        <v>2681</v>
      </c>
    </row>
    <row r="1081" spans="1:19">
      <c r="A1081" s="92">
        <v>43167</v>
      </c>
      <c r="C1081" s="1" t="s">
        <v>56</v>
      </c>
      <c r="E1081" s="98" t="s">
        <v>1284</v>
      </c>
      <c r="F1081" s="1" t="s">
        <v>596</v>
      </c>
      <c r="G1081" s="1" t="s">
        <v>2790</v>
      </c>
      <c r="H1081" s="1">
        <v>1.04</v>
      </c>
      <c r="I1081" s="1" t="s">
        <v>1694</v>
      </c>
      <c r="J1081" s="1">
        <v>7.2800000000000004E-2</v>
      </c>
      <c r="K1081" s="1" t="s">
        <v>596</v>
      </c>
      <c r="L1081" s="1" t="s">
        <v>77</v>
      </c>
      <c r="M1081" s="1" t="s">
        <v>78</v>
      </c>
      <c r="N1081" s="1" t="s">
        <v>79</v>
      </c>
      <c r="O1081" s="1" t="s">
        <v>80</v>
      </c>
      <c r="P1081" s="1" t="s">
        <v>81</v>
      </c>
      <c r="R1081" s="93">
        <v>43167</v>
      </c>
      <c r="S1081" s="93" t="s">
        <v>2672</v>
      </c>
    </row>
    <row r="1082" spans="1:19">
      <c r="A1082" s="92">
        <v>43161</v>
      </c>
      <c r="C1082" s="1" t="s">
        <v>56</v>
      </c>
      <c r="E1082" s="98" t="s">
        <v>1617</v>
      </c>
      <c r="F1082" s="1" t="s">
        <v>480</v>
      </c>
      <c r="G1082" s="1" t="s">
        <v>2791</v>
      </c>
      <c r="H1082" s="1">
        <v>0.4</v>
      </c>
      <c r="I1082" s="1" t="s">
        <v>1814</v>
      </c>
      <c r="J1082" s="1">
        <v>2.8000000000000001E-2</v>
      </c>
      <c r="K1082" s="1" t="s">
        <v>480</v>
      </c>
      <c r="L1082" s="1" t="s">
        <v>187</v>
      </c>
      <c r="M1082" s="1" t="s">
        <v>78</v>
      </c>
      <c r="N1082" s="1" t="s">
        <v>79</v>
      </c>
      <c r="O1082" s="1" t="s">
        <v>80</v>
      </c>
      <c r="P1082" s="1" t="s">
        <v>81</v>
      </c>
      <c r="R1082" s="93">
        <v>43161</v>
      </c>
      <c r="S1082" s="93" t="s">
        <v>2686</v>
      </c>
    </row>
    <row r="1083" spans="1:19">
      <c r="A1083" s="92">
        <v>43160</v>
      </c>
      <c r="C1083" s="1" t="s">
        <v>66</v>
      </c>
      <c r="E1083" s="98" t="s">
        <v>74</v>
      </c>
      <c r="F1083" s="1" t="s">
        <v>75</v>
      </c>
      <c r="G1083" s="1" t="s">
        <v>2792</v>
      </c>
      <c r="H1083" s="1">
        <v>2</v>
      </c>
      <c r="I1083" s="1" t="s">
        <v>59</v>
      </c>
      <c r="J1083" s="1">
        <v>0.6</v>
      </c>
      <c r="K1083" s="1" t="s">
        <v>76</v>
      </c>
      <c r="L1083" s="1" t="s">
        <v>77</v>
      </c>
      <c r="M1083" s="1" t="s">
        <v>78</v>
      </c>
      <c r="N1083" s="1" t="s">
        <v>79</v>
      </c>
      <c r="O1083" s="1" t="s">
        <v>80</v>
      </c>
      <c r="P1083" s="1" t="s">
        <v>81</v>
      </c>
      <c r="R1083" s="93">
        <v>43160</v>
      </c>
      <c r="S1083" s="93" t="s">
        <v>2698</v>
      </c>
    </row>
    <row r="1084" spans="1:19">
      <c r="A1084" s="92">
        <v>43160</v>
      </c>
      <c r="C1084" s="1" t="s">
        <v>56</v>
      </c>
      <c r="E1084" s="98" t="s">
        <v>159</v>
      </c>
      <c r="F1084" s="1" t="s">
        <v>160</v>
      </c>
      <c r="G1084" s="1" t="s">
        <v>2793</v>
      </c>
      <c r="H1084" s="1">
        <v>1</v>
      </c>
      <c r="I1084" s="1" t="s">
        <v>158</v>
      </c>
      <c r="J1084" s="1">
        <v>0.6</v>
      </c>
      <c r="K1084" s="1" t="s">
        <v>161</v>
      </c>
      <c r="L1084" s="1" t="s">
        <v>77</v>
      </c>
      <c r="M1084" s="1" t="s">
        <v>78</v>
      </c>
      <c r="N1084" s="1" t="s">
        <v>79</v>
      </c>
      <c r="O1084" s="1" t="s">
        <v>80</v>
      </c>
      <c r="P1084" s="1" t="s">
        <v>81</v>
      </c>
      <c r="R1084" s="93">
        <v>43160</v>
      </c>
      <c r="S1084" s="93" t="s">
        <v>2701</v>
      </c>
    </row>
    <row r="1085" spans="1:19">
      <c r="A1085" s="92">
        <v>43160</v>
      </c>
      <c r="C1085" s="1" t="s">
        <v>56</v>
      </c>
      <c r="E1085" s="98" t="s">
        <v>159</v>
      </c>
      <c r="F1085" s="1" t="s">
        <v>160</v>
      </c>
      <c r="G1085" s="1" t="s">
        <v>2793</v>
      </c>
      <c r="H1085" s="1">
        <v>1</v>
      </c>
      <c r="I1085" s="1" t="s">
        <v>158</v>
      </c>
      <c r="J1085" s="1">
        <v>0.6</v>
      </c>
      <c r="K1085" s="1" t="s">
        <v>161</v>
      </c>
      <c r="L1085" s="1" t="s">
        <v>77</v>
      </c>
      <c r="M1085" s="1" t="s">
        <v>78</v>
      </c>
      <c r="N1085" s="1" t="s">
        <v>79</v>
      </c>
      <c r="O1085" s="1" t="s">
        <v>80</v>
      </c>
      <c r="P1085" s="1" t="s">
        <v>81</v>
      </c>
      <c r="R1085" s="93">
        <v>43160</v>
      </c>
      <c r="S1085" s="93" t="s">
        <v>2701</v>
      </c>
    </row>
    <row r="1086" spans="1:19">
      <c r="A1086" s="92">
        <v>43160</v>
      </c>
      <c r="C1086" s="1" t="s">
        <v>56</v>
      </c>
      <c r="E1086" s="98" t="s">
        <v>176</v>
      </c>
      <c r="F1086" s="1" t="s">
        <v>177</v>
      </c>
      <c r="G1086" s="1" t="s">
        <v>2794</v>
      </c>
      <c r="H1086" s="1">
        <v>10.17</v>
      </c>
      <c r="I1086" s="1" t="s">
        <v>158</v>
      </c>
      <c r="J1086" s="1">
        <v>6.1020000000000003</v>
      </c>
      <c r="K1086" s="1" t="s">
        <v>178</v>
      </c>
      <c r="L1086" s="1" t="s">
        <v>77</v>
      </c>
      <c r="M1086" s="1" t="s">
        <v>78</v>
      </c>
      <c r="N1086" s="1" t="s">
        <v>79</v>
      </c>
      <c r="O1086" s="1" t="s">
        <v>80</v>
      </c>
      <c r="P1086" s="1" t="s">
        <v>81</v>
      </c>
      <c r="R1086" s="93">
        <v>43160</v>
      </c>
      <c r="S1086" s="93" t="s">
        <v>2701</v>
      </c>
    </row>
    <row r="1087" spans="1:19">
      <c r="A1087" s="92">
        <v>43160</v>
      </c>
      <c r="C1087" s="1" t="s">
        <v>56</v>
      </c>
      <c r="E1087" s="98" t="s">
        <v>183</v>
      </c>
      <c r="F1087" s="1" t="s">
        <v>184</v>
      </c>
      <c r="G1087" s="1" t="s">
        <v>2795</v>
      </c>
      <c r="H1087" s="1">
        <v>10</v>
      </c>
      <c r="I1087" s="1" t="s">
        <v>185</v>
      </c>
      <c r="J1087" s="1">
        <v>3</v>
      </c>
      <c r="K1087" s="1" t="s">
        <v>186</v>
      </c>
      <c r="L1087" s="1" t="s">
        <v>187</v>
      </c>
      <c r="M1087" s="1" t="s">
        <v>78</v>
      </c>
      <c r="N1087" s="1" t="s">
        <v>79</v>
      </c>
      <c r="O1087" s="1" t="s">
        <v>80</v>
      </c>
      <c r="P1087" s="1" t="s">
        <v>81</v>
      </c>
      <c r="R1087" s="93">
        <v>43160</v>
      </c>
      <c r="S1087" s="93" t="s">
        <v>2703</v>
      </c>
    </row>
    <row r="1088" spans="1:19">
      <c r="A1088" s="92">
        <v>43160</v>
      </c>
      <c r="C1088" s="1" t="s">
        <v>56</v>
      </c>
      <c r="E1088" s="98" t="s">
        <v>188</v>
      </c>
      <c r="F1088" s="1" t="s">
        <v>189</v>
      </c>
      <c r="G1088" s="1" t="s">
        <v>2796</v>
      </c>
      <c r="H1088" s="1">
        <v>5.09</v>
      </c>
      <c r="I1088" s="1" t="s">
        <v>185</v>
      </c>
      <c r="J1088" s="1">
        <v>1.5269999999999999</v>
      </c>
      <c r="K1088" s="1" t="s">
        <v>189</v>
      </c>
      <c r="L1088" s="1" t="s">
        <v>77</v>
      </c>
      <c r="M1088" s="1" t="s">
        <v>78</v>
      </c>
      <c r="N1088" s="1" t="s">
        <v>79</v>
      </c>
      <c r="O1088" s="1" t="s">
        <v>80</v>
      </c>
      <c r="P1088" s="1" t="s">
        <v>81</v>
      </c>
      <c r="R1088" s="93">
        <v>43160</v>
      </c>
      <c r="S1088" s="93" t="s">
        <v>2703</v>
      </c>
    </row>
    <row r="1089" spans="1:19">
      <c r="A1089" s="92">
        <v>43160</v>
      </c>
      <c r="C1089" s="1" t="s">
        <v>56</v>
      </c>
      <c r="E1089" s="98" t="s">
        <v>196</v>
      </c>
      <c r="F1089" s="1" t="s">
        <v>197</v>
      </c>
      <c r="G1089" s="1" t="s">
        <v>2797</v>
      </c>
      <c r="H1089" s="1">
        <v>10</v>
      </c>
      <c r="I1089" s="1" t="s">
        <v>185</v>
      </c>
      <c r="J1089" s="1">
        <v>3</v>
      </c>
      <c r="K1089" s="1" t="s">
        <v>198</v>
      </c>
      <c r="L1089" s="1" t="s">
        <v>187</v>
      </c>
      <c r="M1089" s="1" t="s">
        <v>78</v>
      </c>
      <c r="N1089" s="1" t="s">
        <v>79</v>
      </c>
      <c r="O1089" s="1" t="s">
        <v>80</v>
      </c>
      <c r="P1089" s="1" t="s">
        <v>81</v>
      </c>
      <c r="R1089" s="93">
        <v>43160</v>
      </c>
      <c r="S1089" s="93" t="s">
        <v>2703</v>
      </c>
    </row>
    <row r="1090" spans="1:19">
      <c r="A1090" s="92">
        <v>43160</v>
      </c>
      <c r="C1090" s="1" t="s">
        <v>56</v>
      </c>
      <c r="E1090" s="98" t="s">
        <v>202</v>
      </c>
      <c r="F1090" s="1" t="s">
        <v>203</v>
      </c>
      <c r="G1090" s="1" t="s">
        <v>2798</v>
      </c>
      <c r="H1090" s="1">
        <v>2.4</v>
      </c>
      <c r="I1090" s="1" t="s">
        <v>185</v>
      </c>
      <c r="J1090" s="1">
        <v>0.72</v>
      </c>
      <c r="K1090" s="1" t="s">
        <v>198</v>
      </c>
      <c r="L1090" s="1" t="s">
        <v>187</v>
      </c>
      <c r="M1090" s="1" t="s">
        <v>78</v>
      </c>
      <c r="N1090" s="1" t="s">
        <v>79</v>
      </c>
      <c r="O1090" s="1" t="s">
        <v>80</v>
      </c>
      <c r="P1090" s="1" t="s">
        <v>81</v>
      </c>
      <c r="R1090" s="93">
        <v>43160</v>
      </c>
      <c r="S1090" s="93" t="s">
        <v>2703</v>
      </c>
    </row>
    <row r="1091" spans="1:19">
      <c r="A1091" s="92">
        <v>43160</v>
      </c>
      <c r="C1091" s="1" t="s">
        <v>66</v>
      </c>
      <c r="E1091" s="98" t="s">
        <v>222</v>
      </c>
      <c r="F1091" s="1" t="s">
        <v>223</v>
      </c>
      <c r="G1091" s="1" t="s">
        <v>2799</v>
      </c>
      <c r="H1091" s="1">
        <v>0.01</v>
      </c>
      <c r="I1091" s="1" t="s">
        <v>185</v>
      </c>
      <c r="J1091" s="1">
        <v>3.0000000000000001E-3</v>
      </c>
      <c r="K1091" s="1" t="s">
        <v>187</v>
      </c>
      <c r="L1091" s="1" t="s">
        <v>187</v>
      </c>
      <c r="M1091" s="1" t="s">
        <v>78</v>
      </c>
      <c r="N1091" s="1" t="s">
        <v>79</v>
      </c>
      <c r="O1091" s="1" t="s">
        <v>80</v>
      </c>
      <c r="P1091" s="1" t="s">
        <v>81</v>
      </c>
      <c r="R1091" s="93">
        <v>43160</v>
      </c>
      <c r="S1091" s="93" t="s">
        <v>2703</v>
      </c>
    </row>
    <row r="1092" spans="1:19">
      <c r="A1092" s="92">
        <v>43161</v>
      </c>
      <c r="C1092" s="1" t="s">
        <v>56</v>
      </c>
      <c r="E1092" s="98" t="s">
        <v>188</v>
      </c>
      <c r="F1092" s="1" t="s">
        <v>189</v>
      </c>
      <c r="G1092" s="1" t="s">
        <v>2796</v>
      </c>
      <c r="H1092" s="1">
        <v>5.09</v>
      </c>
      <c r="I1092" s="1" t="s">
        <v>231</v>
      </c>
      <c r="J1092" s="1">
        <v>1.5269999999999999</v>
      </c>
      <c r="K1092" s="1" t="s">
        <v>189</v>
      </c>
      <c r="L1092" s="1" t="s">
        <v>77</v>
      </c>
      <c r="M1092" s="1" t="s">
        <v>78</v>
      </c>
      <c r="N1092" s="1" t="s">
        <v>79</v>
      </c>
      <c r="O1092" s="1" t="s">
        <v>80</v>
      </c>
      <c r="P1092" s="1" t="s">
        <v>81</v>
      </c>
      <c r="R1092" s="93">
        <v>43161</v>
      </c>
      <c r="S1092" s="93" t="s">
        <v>2703</v>
      </c>
    </row>
    <row r="1093" spans="1:19">
      <c r="A1093" s="92">
        <v>43161</v>
      </c>
      <c r="C1093" s="1" t="s">
        <v>56</v>
      </c>
      <c r="E1093" s="98" t="s">
        <v>183</v>
      </c>
      <c r="F1093" s="1" t="s">
        <v>184</v>
      </c>
      <c r="G1093" s="1" t="s">
        <v>2795</v>
      </c>
      <c r="H1093" s="1">
        <v>10</v>
      </c>
      <c r="I1093" s="1" t="s">
        <v>231</v>
      </c>
      <c r="J1093" s="1">
        <v>3</v>
      </c>
      <c r="K1093" s="1" t="s">
        <v>186</v>
      </c>
      <c r="L1093" s="1" t="s">
        <v>187</v>
      </c>
      <c r="M1093" s="1" t="s">
        <v>78</v>
      </c>
      <c r="N1093" s="1" t="s">
        <v>79</v>
      </c>
      <c r="O1093" s="1" t="s">
        <v>80</v>
      </c>
      <c r="P1093" s="1" t="s">
        <v>81</v>
      </c>
      <c r="R1093" s="93">
        <v>43161</v>
      </c>
      <c r="S1093" s="93" t="s">
        <v>2703</v>
      </c>
    </row>
    <row r="1094" spans="1:19">
      <c r="A1094" s="92">
        <v>43161</v>
      </c>
      <c r="C1094" s="1" t="s">
        <v>56</v>
      </c>
      <c r="E1094" s="98" t="s">
        <v>245</v>
      </c>
      <c r="F1094" s="1" t="s">
        <v>76</v>
      </c>
      <c r="G1094" s="1" t="s">
        <v>2800</v>
      </c>
      <c r="H1094" s="1">
        <v>0.01</v>
      </c>
      <c r="I1094" s="1" t="s">
        <v>231</v>
      </c>
      <c r="J1094" s="1">
        <v>3.0000000000000001E-3</v>
      </c>
      <c r="K1094" s="1" t="s">
        <v>76</v>
      </c>
      <c r="L1094" s="1" t="s">
        <v>77</v>
      </c>
      <c r="M1094" s="1" t="s">
        <v>78</v>
      </c>
      <c r="N1094" s="1" t="s">
        <v>79</v>
      </c>
      <c r="O1094" s="1" t="s">
        <v>80</v>
      </c>
      <c r="P1094" s="1" t="s">
        <v>81</v>
      </c>
      <c r="R1094" s="93">
        <v>43161</v>
      </c>
      <c r="S1094" s="93" t="s">
        <v>2703</v>
      </c>
    </row>
    <row r="1095" spans="1:19">
      <c r="A1095" s="92">
        <v>43161</v>
      </c>
      <c r="C1095" s="1" t="s">
        <v>56</v>
      </c>
      <c r="E1095" s="98" t="s">
        <v>159</v>
      </c>
      <c r="F1095" s="1" t="s">
        <v>160</v>
      </c>
      <c r="G1095" s="1" t="s">
        <v>2793</v>
      </c>
      <c r="H1095" s="1">
        <v>0.6</v>
      </c>
      <c r="I1095" s="1" t="s">
        <v>264</v>
      </c>
      <c r="J1095" s="1">
        <v>0.36</v>
      </c>
      <c r="K1095" s="1" t="s">
        <v>161</v>
      </c>
      <c r="L1095" s="1" t="s">
        <v>77</v>
      </c>
      <c r="M1095" s="1" t="s">
        <v>78</v>
      </c>
      <c r="N1095" s="1" t="s">
        <v>79</v>
      </c>
      <c r="O1095" s="1" t="s">
        <v>80</v>
      </c>
      <c r="P1095" s="1" t="s">
        <v>81</v>
      </c>
      <c r="R1095" s="93">
        <v>43161</v>
      </c>
      <c r="S1095" s="93" t="s">
        <v>2701</v>
      </c>
    </row>
    <row r="1096" spans="1:19">
      <c r="A1096" s="92">
        <v>43163</v>
      </c>
      <c r="C1096" s="1" t="s">
        <v>56</v>
      </c>
      <c r="E1096" s="98" t="s">
        <v>334</v>
      </c>
      <c r="F1096" s="1" t="s">
        <v>335</v>
      </c>
      <c r="G1096" s="1" t="s">
        <v>2801</v>
      </c>
      <c r="H1096" s="1">
        <v>16</v>
      </c>
      <c r="I1096" s="1" t="s">
        <v>299</v>
      </c>
      <c r="J1096" s="1">
        <v>16</v>
      </c>
      <c r="K1096" s="1" t="s">
        <v>161</v>
      </c>
      <c r="L1096" s="1" t="s">
        <v>77</v>
      </c>
      <c r="M1096" s="1" t="s">
        <v>78</v>
      </c>
      <c r="N1096" s="1" t="s">
        <v>79</v>
      </c>
      <c r="O1096" s="1" t="s">
        <v>80</v>
      </c>
      <c r="P1096" s="1" t="s">
        <v>81</v>
      </c>
      <c r="R1096" s="93">
        <v>43163</v>
      </c>
      <c r="S1096" s="93" t="s">
        <v>2704</v>
      </c>
    </row>
    <row r="1097" spans="1:19">
      <c r="A1097" s="92">
        <v>43164</v>
      </c>
      <c r="C1097" s="1" t="s">
        <v>56</v>
      </c>
      <c r="E1097" s="98" t="s">
        <v>344</v>
      </c>
      <c r="F1097" s="1" t="s">
        <v>345</v>
      </c>
      <c r="G1097" s="1" t="s">
        <v>2802</v>
      </c>
      <c r="H1097" s="1">
        <v>2</v>
      </c>
      <c r="I1097" s="1" t="s">
        <v>299</v>
      </c>
      <c r="J1097" s="1">
        <v>2</v>
      </c>
      <c r="K1097" s="1" t="s">
        <v>187</v>
      </c>
      <c r="L1097" s="1" t="s">
        <v>187</v>
      </c>
      <c r="M1097" s="1" t="s">
        <v>78</v>
      </c>
      <c r="N1097" s="1" t="s">
        <v>79</v>
      </c>
      <c r="O1097" s="1" t="s">
        <v>80</v>
      </c>
      <c r="P1097" s="1" t="s">
        <v>81</v>
      </c>
      <c r="R1097" s="93">
        <v>43164</v>
      </c>
      <c r="S1097" s="93" t="s">
        <v>2704</v>
      </c>
    </row>
    <row r="1098" spans="1:19">
      <c r="A1098" s="92">
        <v>43163</v>
      </c>
      <c r="C1098" s="1" t="s">
        <v>56</v>
      </c>
      <c r="E1098" s="98" t="s">
        <v>354</v>
      </c>
      <c r="F1098" s="1" t="s">
        <v>355</v>
      </c>
      <c r="G1098" s="1" t="s">
        <v>2778</v>
      </c>
      <c r="H1098" s="1">
        <v>1.3</v>
      </c>
      <c r="I1098" s="1" t="s">
        <v>350</v>
      </c>
      <c r="J1098" s="1">
        <v>0.78</v>
      </c>
      <c r="K1098" s="1" t="s">
        <v>356</v>
      </c>
      <c r="L1098" s="1" t="s">
        <v>187</v>
      </c>
      <c r="M1098" s="1" t="s">
        <v>78</v>
      </c>
      <c r="N1098" s="1" t="s">
        <v>79</v>
      </c>
      <c r="O1098" s="1" t="s">
        <v>80</v>
      </c>
      <c r="P1098" s="1" t="s">
        <v>81</v>
      </c>
      <c r="R1098" s="93">
        <v>43163</v>
      </c>
      <c r="S1098" s="93" t="s">
        <v>2705</v>
      </c>
    </row>
    <row r="1099" spans="1:19">
      <c r="A1099" s="92">
        <v>43161</v>
      </c>
      <c r="C1099" s="1" t="s">
        <v>66</v>
      </c>
      <c r="E1099" s="98" t="s">
        <v>222</v>
      </c>
      <c r="F1099" s="1" t="s">
        <v>223</v>
      </c>
      <c r="G1099" s="1" t="s">
        <v>2799</v>
      </c>
      <c r="H1099" s="1">
        <v>0.01</v>
      </c>
      <c r="I1099" s="1" t="s">
        <v>360</v>
      </c>
      <c r="J1099" s="1">
        <v>3.0000000000000001E-3</v>
      </c>
      <c r="K1099" s="1" t="s">
        <v>187</v>
      </c>
      <c r="L1099" s="1" t="s">
        <v>187</v>
      </c>
      <c r="M1099" s="1" t="s">
        <v>78</v>
      </c>
      <c r="N1099" s="1" t="s">
        <v>79</v>
      </c>
      <c r="O1099" s="1" t="s">
        <v>80</v>
      </c>
      <c r="P1099" s="1" t="s">
        <v>81</v>
      </c>
      <c r="R1099" s="93">
        <v>43161</v>
      </c>
      <c r="S1099" s="93" t="s">
        <v>2706</v>
      </c>
    </row>
    <row r="1100" spans="1:19">
      <c r="A1100" s="92">
        <v>43163</v>
      </c>
      <c r="C1100" s="1" t="s">
        <v>56</v>
      </c>
      <c r="E1100" s="98" t="s">
        <v>196</v>
      </c>
      <c r="F1100" s="1" t="s">
        <v>197</v>
      </c>
      <c r="G1100" s="1" t="s">
        <v>2797</v>
      </c>
      <c r="H1100" s="1">
        <v>10</v>
      </c>
      <c r="I1100" s="1" t="s">
        <v>360</v>
      </c>
      <c r="J1100" s="1">
        <v>3</v>
      </c>
      <c r="K1100" s="1" t="s">
        <v>198</v>
      </c>
      <c r="L1100" s="1" t="s">
        <v>187</v>
      </c>
      <c r="M1100" s="1" t="s">
        <v>78</v>
      </c>
      <c r="N1100" s="1" t="s">
        <v>79</v>
      </c>
      <c r="O1100" s="1" t="s">
        <v>80</v>
      </c>
      <c r="P1100" s="1" t="s">
        <v>81</v>
      </c>
      <c r="R1100" s="93">
        <v>43163</v>
      </c>
      <c r="S1100" s="93" t="s">
        <v>2706</v>
      </c>
    </row>
    <row r="1101" spans="1:19">
      <c r="A1101" s="92">
        <v>43163</v>
      </c>
      <c r="C1101" s="1" t="s">
        <v>56</v>
      </c>
      <c r="E1101" s="98" t="s">
        <v>383</v>
      </c>
      <c r="F1101" s="1" t="s">
        <v>384</v>
      </c>
      <c r="G1101" s="1" t="s">
        <v>2803</v>
      </c>
      <c r="H1101" s="1">
        <v>2</v>
      </c>
      <c r="I1101" s="1" t="s">
        <v>360</v>
      </c>
      <c r="J1101" s="1">
        <v>0.6</v>
      </c>
      <c r="K1101" s="1" t="s">
        <v>385</v>
      </c>
      <c r="L1101" s="1" t="s">
        <v>187</v>
      </c>
      <c r="M1101" s="1" t="s">
        <v>78</v>
      </c>
      <c r="N1101" s="1" t="s">
        <v>79</v>
      </c>
      <c r="O1101" s="1" t="s">
        <v>80</v>
      </c>
      <c r="P1101" s="1" t="s">
        <v>81</v>
      </c>
      <c r="R1101" s="93">
        <v>43163</v>
      </c>
      <c r="S1101" s="93" t="s">
        <v>2706</v>
      </c>
    </row>
    <row r="1102" spans="1:19">
      <c r="A1102" s="92">
        <v>43164</v>
      </c>
      <c r="C1102" s="1" t="s">
        <v>56</v>
      </c>
      <c r="E1102" s="98" t="s">
        <v>398</v>
      </c>
      <c r="F1102" s="1" t="s">
        <v>399</v>
      </c>
      <c r="G1102" s="1" t="s">
        <v>2804</v>
      </c>
      <c r="H1102" s="1">
        <v>20</v>
      </c>
      <c r="I1102" s="1" t="s">
        <v>360</v>
      </c>
      <c r="J1102" s="1">
        <v>6</v>
      </c>
      <c r="K1102" s="1" t="s">
        <v>178</v>
      </c>
      <c r="L1102" s="1" t="s">
        <v>77</v>
      </c>
      <c r="M1102" s="1" t="s">
        <v>78</v>
      </c>
      <c r="N1102" s="1" t="s">
        <v>79</v>
      </c>
      <c r="O1102" s="1" t="s">
        <v>80</v>
      </c>
      <c r="P1102" s="1" t="s">
        <v>81</v>
      </c>
      <c r="R1102" s="93">
        <v>43164</v>
      </c>
      <c r="S1102" s="93" t="s">
        <v>2706</v>
      </c>
    </row>
    <row r="1103" spans="1:19">
      <c r="A1103" s="92">
        <v>43164</v>
      </c>
      <c r="C1103" s="1" t="s">
        <v>56</v>
      </c>
      <c r="E1103" s="98" t="s">
        <v>196</v>
      </c>
      <c r="F1103" s="1" t="s">
        <v>197</v>
      </c>
      <c r="G1103" s="1" t="s">
        <v>2797</v>
      </c>
      <c r="H1103" s="1">
        <v>5</v>
      </c>
      <c r="I1103" s="1" t="s">
        <v>402</v>
      </c>
      <c r="J1103" s="1">
        <v>1.5</v>
      </c>
      <c r="K1103" s="1" t="s">
        <v>198</v>
      </c>
      <c r="L1103" s="1" t="s">
        <v>187</v>
      </c>
      <c r="M1103" s="1" t="s">
        <v>78</v>
      </c>
      <c r="N1103" s="1" t="s">
        <v>79</v>
      </c>
      <c r="O1103" s="1" t="s">
        <v>80</v>
      </c>
      <c r="P1103" s="1" t="s">
        <v>81</v>
      </c>
      <c r="R1103" s="93">
        <v>43164</v>
      </c>
      <c r="S1103" s="93" t="s">
        <v>2707</v>
      </c>
    </row>
    <row r="1104" spans="1:19">
      <c r="A1104" s="92">
        <v>43164</v>
      </c>
      <c r="C1104" s="1" t="s">
        <v>56</v>
      </c>
      <c r="E1104" s="98" t="s">
        <v>196</v>
      </c>
      <c r="F1104" s="1" t="s">
        <v>197</v>
      </c>
      <c r="G1104" s="1" t="s">
        <v>2797</v>
      </c>
      <c r="H1104" s="1">
        <v>5</v>
      </c>
      <c r="I1104" s="1" t="s">
        <v>402</v>
      </c>
      <c r="J1104" s="1">
        <v>1.5</v>
      </c>
      <c r="K1104" s="1" t="s">
        <v>198</v>
      </c>
      <c r="L1104" s="1" t="s">
        <v>187</v>
      </c>
      <c r="M1104" s="1" t="s">
        <v>78</v>
      </c>
      <c r="N1104" s="1" t="s">
        <v>79</v>
      </c>
      <c r="O1104" s="1" t="s">
        <v>80</v>
      </c>
      <c r="P1104" s="1" t="s">
        <v>81</v>
      </c>
      <c r="R1104" s="93">
        <v>43164</v>
      </c>
      <c r="S1104" s="93" t="s">
        <v>2707</v>
      </c>
    </row>
    <row r="1105" spans="1:19">
      <c r="A1105" s="92">
        <v>43164</v>
      </c>
      <c r="C1105" s="1" t="s">
        <v>56</v>
      </c>
      <c r="E1105" s="98" t="s">
        <v>421</v>
      </c>
      <c r="F1105" s="1" t="s">
        <v>422</v>
      </c>
      <c r="G1105" s="1" t="s">
        <v>2805</v>
      </c>
      <c r="H1105" s="1">
        <v>0.03</v>
      </c>
      <c r="I1105" s="1" t="s">
        <v>423</v>
      </c>
      <c r="J1105" s="1">
        <v>4.4999999999999998E-2</v>
      </c>
      <c r="K1105" s="1" t="s">
        <v>356</v>
      </c>
      <c r="L1105" s="1" t="s">
        <v>187</v>
      </c>
      <c r="M1105" s="1" t="s">
        <v>78</v>
      </c>
      <c r="N1105" s="1" t="s">
        <v>79</v>
      </c>
      <c r="O1105" s="1" t="s">
        <v>80</v>
      </c>
      <c r="P1105" s="1" t="s">
        <v>81</v>
      </c>
      <c r="R1105" s="93">
        <v>43164</v>
      </c>
      <c r="S1105" s="93" t="s">
        <v>2867</v>
      </c>
    </row>
    <row r="1106" spans="1:19">
      <c r="A1106" s="92">
        <v>43165</v>
      </c>
      <c r="C1106" s="1" t="s">
        <v>56</v>
      </c>
      <c r="E1106" s="98" t="s">
        <v>159</v>
      </c>
      <c r="F1106" s="1" t="s">
        <v>160</v>
      </c>
      <c r="G1106" s="1" t="s">
        <v>2793</v>
      </c>
      <c r="H1106" s="1">
        <v>0.66</v>
      </c>
      <c r="I1106" s="1" t="s">
        <v>433</v>
      </c>
      <c r="J1106" s="1">
        <v>0.39600000000000002</v>
      </c>
      <c r="K1106" s="1" t="s">
        <v>161</v>
      </c>
      <c r="L1106" s="1" t="s">
        <v>77</v>
      </c>
      <c r="M1106" s="1" t="s">
        <v>78</v>
      </c>
      <c r="N1106" s="1" t="s">
        <v>79</v>
      </c>
      <c r="O1106" s="1" t="s">
        <v>80</v>
      </c>
      <c r="P1106" s="1" t="s">
        <v>81</v>
      </c>
      <c r="R1106" s="93">
        <v>43165</v>
      </c>
      <c r="S1106" s="93" t="s">
        <v>2709</v>
      </c>
    </row>
    <row r="1107" spans="1:19">
      <c r="A1107" s="92">
        <v>43164</v>
      </c>
      <c r="C1107" s="1" t="s">
        <v>56</v>
      </c>
      <c r="E1107" s="98" t="s">
        <v>472</v>
      </c>
      <c r="F1107" s="1" t="s">
        <v>473</v>
      </c>
      <c r="G1107" s="1" t="s">
        <v>2806</v>
      </c>
      <c r="H1107" s="1">
        <v>10</v>
      </c>
      <c r="I1107" s="1" t="s">
        <v>440</v>
      </c>
      <c r="J1107" s="1">
        <v>10</v>
      </c>
      <c r="K1107" s="1" t="s">
        <v>474</v>
      </c>
      <c r="L1107" s="1" t="s">
        <v>187</v>
      </c>
      <c r="M1107" s="1" t="s">
        <v>78</v>
      </c>
      <c r="N1107" s="1" t="s">
        <v>79</v>
      </c>
      <c r="O1107" s="1" t="s">
        <v>80</v>
      </c>
      <c r="P1107" s="1" t="s">
        <v>81</v>
      </c>
      <c r="R1107" s="93">
        <v>43164</v>
      </c>
      <c r="S1107" s="93" t="s">
        <v>2708</v>
      </c>
    </row>
    <row r="1108" spans="1:19">
      <c r="A1108" s="92">
        <v>43165</v>
      </c>
      <c r="C1108" s="1" t="s">
        <v>56</v>
      </c>
      <c r="E1108" s="98" t="s">
        <v>478</v>
      </c>
      <c r="F1108" s="1" t="s">
        <v>479</v>
      </c>
      <c r="G1108" s="1" t="s">
        <v>2807</v>
      </c>
      <c r="H1108" s="1">
        <v>0.221304</v>
      </c>
      <c r="I1108" s="1" t="s">
        <v>440</v>
      </c>
      <c r="J1108" s="1">
        <v>0.221304</v>
      </c>
      <c r="K1108" s="1" t="s">
        <v>480</v>
      </c>
      <c r="L1108" s="1" t="s">
        <v>187</v>
      </c>
      <c r="M1108" s="1" t="s">
        <v>78</v>
      </c>
      <c r="N1108" s="1" t="s">
        <v>79</v>
      </c>
      <c r="O1108" s="1" t="s">
        <v>80</v>
      </c>
      <c r="P1108" s="1" t="s">
        <v>81</v>
      </c>
      <c r="R1108" s="93">
        <v>43165</v>
      </c>
      <c r="S1108" s="93" t="s">
        <v>2708</v>
      </c>
    </row>
    <row r="1109" spans="1:19">
      <c r="A1109" s="92">
        <v>43165</v>
      </c>
      <c r="C1109" s="1" t="s">
        <v>56</v>
      </c>
      <c r="E1109" s="98" t="s">
        <v>499</v>
      </c>
      <c r="F1109" s="1" t="s">
        <v>500</v>
      </c>
      <c r="G1109" s="1" t="s">
        <v>2808</v>
      </c>
      <c r="H1109" s="1">
        <v>22.65</v>
      </c>
      <c r="I1109" s="1" t="s">
        <v>485</v>
      </c>
      <c r="J1109" s="1">
        <v>22.65</v>
      </c>
      <c r="K1109" s="1" t="s">
        <v>474</v>
      </c>
      <c r="L1109" s="1" t="s">
        <v>187</v>
      </c>
      <c r="M1109" s="1" t="s">
        <v>78</v>
      </c>
      <c r="N1109" s="1" t="s">
        <v>79</v>
      </c>
      <c r="O1109" s="1" t="s">
        <v>80</v>
      </c>
      <c r="P1109" s="1" t="s">
        <v>81</v>
      </c>
      <c r="R1109" s="93">
        <v>43165</v>
      </c>
      <c r="S1109" s="93" t="s">
        <v>2710</v>
      </c>
    </row>
    <row r="1110" spans="1:19">
      <c r="A1110" s="92">
        <v>43165</v>
      </c>
      <c r="C1110" s="1" t="s">
        <v>56</v>
      </c>
      <c r="E1110" s="98" t="s">
        <v>478</v>
      </c>
      <c r="F1110" s="1" t="s">
        <v>479</v>
      </c>
      <c r="G1110" s="1" t="s">
        <v>2807</v>
      </c>
      <c r="H1110" s="1">
        <v>0.8</v>
      </c>
      <c r="I1110" s="1" t="s">
        <v>485</v>
      </c>
      <c r="J1110" s="1">
        <v>0.8</v>
      </c>
      <c r="K1110" s="1" t="s">
        <v>480</v>
      </c>
      <c r="L1110" s="1" t="s">
        <v>187</v>
      </c>
      <c r="M1110" s="1" t="s">
        <v>78</v>
      </c>
      <c r="N1110" s="1" t="s">
        <v>79</v>
      </c>
      <c r="O1110" s="1" t="s">
        <v>80</v>
      </c>
      <c r="P1110" s="1" t="s">
        <v>81</v>
      </c>
      <c r="R1110" s="93">
        <v>43165</v>
      </c>
      <c r="S1110" s="93" t="s">
        <v>2710</v>
      </c>
    </row>
    <row r="1111" spans="1:19">
      <c r="A1111" s="92">
        <v>43165</v>
      </c>
      <c r="C1111" s="1" t="s">
        <v>56</v>
      </c>
      <c r="E1111" s="98" t="s">
        <v>520</v>
      </c>
      <c r="F1111" s="1" t="s">
        <v>521</v>
      </c>
      <c r="G1111" s="1" t="s">
        <v>2809</v>
      </c>
      <c r="H1111" s="1">
        <v>0.34</v>
      </c>
      <c r="I1111" s="1" t="s">
        <v>519</v>
      </c>
      <c r="J1111" s="1">
        <v>0.20399999999999999</v>
      </c>
      <c r="K1111" s="1" t="s">
        <v>161</v>
      </c>
      <c r="L1111" s="1" t="s">
        <v>77</v>
      </c>
      <c r="M1111" s="1" t="s">
        <v>78</v>
      </c>
      <c r="N1111" s="1" t="s">
        <v>79</v>
      </c>
      <c r="O1111" s="1" t="s">
        <v>80</v>
      </c>
      <c r="P1111" s="1" t="s">
        <v>81</v>
      </c>
      <c r="R1111" s="93">
        <v>43165</v>
      </c>
      <c r="S1111" s="93" t="s">
        <v>2711</v>
      </c>
    </row>
    <row r="1112" spans="1:19">
      <c r="A1112" s="92">
        <v>43165</v>
      </c>
      <c r="C1112" s="1" t="s">
        <v>66</v>
      </c>
      <c r="E1112" s="98" t="s">
        <v>524</v>
      </c>
      <c r="F1112" s="1" t="s">
        <v>525</v>
      </c>
      <c r="G1112" s="1" t="s">
        <v>2810</v>
      </c>
      <c r="H1112" s="1">
        <v>3.5</v>
      </c>
      <c r="I1112" s="1" t="s">
        <v>519</v>
      </c>
      <c r="J1112" s="1">
        <v>2.1</v>
      </c>
      <c r="K1112" s="1" t="s">
        <v>356</v>
      </c>
      <c r="L1112" s="1" t="s">
        <v>187</v>
      </c>
      <c r="M1112" s="1" t="s">
        <v>78</v>
      </c>
      <c r="N1112" s="1" t="s">
        <v>79</v>
      </c>
      <c r="O1112" s="1" t="s">
        <v>80</v>
      </c>
      <c r="P1112" s="1" t="s">
        <v>81</v>
      </c>
      <c r="R1112" s="93">
        <v>43165</v>
      </c>
      <c r="S1112" s="93" t="s">
        <v>2711</v>
      </c>
    </row>
    <row r="1113" spans="1:19">
      <c r="A1113" s="92">
        <v>43165</v>
      </c>
      <c r="C1113" s="1" t="s">
        <v>56</v>
      </c>
      <c r="E1113" s="98" t="s">
        <v>526</v>
      </c>
      <c r="F1113" s="1" t="s">
        <v>527</v>
      </c>
      <c r="G1113" s="1" t="s">
        <v>2811</v>
      </c>
      <c r="H1113" s="1">
        <v>31.24</v>
      </c>
      <c r="I1113" s="1" t="s">
        <v>519</v>
      </c>
      <c r="J1113" s="1">
        <v>18.744</v>
      </c>
      <c r="K1113" s="1" t="s">
        <v>356</v>
      </c>
      <c r="L1113" s="1" t="s">
        <v>187</v>
      </c>
      <c r="M1113" s="1" t="s">
        <v>78</v>
      </c>
      <c r="N1113" s="1" t="s">
        <v>79</v>
      </c>
      <c r="O1113" s="1" t="s">
        <v>80</v>
      </c>
      <c r="P1113" s="1" t="s">
        <v>81</v>
      </c>
      <c r="R1113" s="93">
        <v>43165</v>
      </c>
      <c r="S1113" s="93" t="s">
        <v>2711</v>
      </c>
    </row>
    <row r="1114" spans="1:19">
      <c r="A1114" s="92">
        <v>43165</v>
      </c>
      <c r="C1114" s="1" t="s">
        <v>56</v>
      </c>
      <c r="E1114" s="98" t="s">
        <v>526</v>
      </c>
      <c r="F1114" s="1" t="s">
        <v>527</v>
      </c>
      <c r="G1114" s="1" t="s">
        <v>2811</v>
      </c>
      <c r="H1114" s="1">
        <v>0.68</v>
      </c>
      <c r="I1114" s="1" t="s">
        <v>519</v>
      </c>
      <c r="J1114" s="1">
        <v>0.40799999999999997</v>
      </c>
      <c r="K1114" s="1" t="s">
        <v>356</v>
      </c>
      <c r="L1114" s="1" t="s">
        <v>187</v>
      </c>
      <c r="M1114" s="1" t="s">
        <v>78</v>
      </c>
      <c r="N1114" s="1" t="s">
        <v>79</v>
      </c>
      <c r="O1114" s="1" t="s">
        <v>80</v>
      </c>
      <c r="P1114" s="1" t="s">
        <v>81</v>
      </c>
      <c r="R1114" s="93">
        <v>43165</v>
      </c>
      <c r="S1114" s="93" t="s">
        <v>2711</v>
      </c>
    </row>
    <row r="1115" spans="1:19">
      <c r="A1115" s="92">
        <v>43165</v>
      </c>
      <c r="C1115" s="1" t="s">
        <v>56</v>
      </c>
      <c r="E1115" s="98" t="s">
        <v>421</v>
      </c>
      <c r="F1115" s="1" t="s">
        <v>422</v>
      </c>
      <c r="G1115" s="1" t="s">
        <v>2805</v>
      </c>
      <c r="H1115" s="1">
        <v>0.03</v>
      </c>
      <c r="I1115" s="1" t="s">
        <v>532</v>
      </c>
      <c r="J1115" s="1">
        <v>4.4999999999999998E-2</v>
      </c>
      <c r="K1115" s="1" t="s">
        <v>356</v>
      </c>
      <c r="L1115" s="1" t="s">
        <v>187</v>
      </c>
      <c r="M1115" s="1" t="s">
        <v>78</v>
      </c>
      <c r="N1115" s="1" t="s">
        <v>79</v>
      </c>
      <c r="O1115" s="1" t="s">
        <v>80</v>
      </c>
      <c r="P1115" s="1" t="s">
        <v>81</v>
      </c>
      <c r="R1115" s="93">
        <v>43165</v>
      </c>
      <c r="S1115" s="93" t="s">
        <v>2868</v>
      </c>
    </row>
    <row r="1116" spans="1:19">
      <c r="A1116" s="92">
        <v>43165</v>
      </c>
      <c r="C1116" s="1" t="s">
        <v>56</v>
      </c>
      <c r="E1116" s="98" t="s">
        <v>537</v>
      </c>
      <c r="F1116" s="1" t="s">
        <v>538</v>
      </c>
      <c r="G1116" s="1" t="s">
        <v>2812</v>
      </c>
      <c r="H1116" s="1">
        <v>2</v>
      </c>
      <c r="I1116" s="1" t="s">
        <v>533</v>
      </c>
      <c r="J1116" s="1">
        <v>0.6</v>
      </c>
      <c r="K1116" s="1" t="s">
        <v>161</v>
      </c>
      <c r="L1116" s="1" t="s">
        <v>77</v>
      </c>
      <c r="M1116" s="1" t="s">
        <v>78</v>
      </c>
      <c r="N1116" s="1" t="s">
        <v>79</v>
      </c>
      <c r="O1116" s="1" t="s">
        <v>80</v>
      </c>
      <c r="P1116" s="1" t="s">
        <v>81</v>
      </c>
      <c r="R1116" s="93">
        <v>43165</v>
      </c>
      <c r="S1116" s="93" t="s">
        <v>2712</v>
      </c>
    </row>
    <row r="1117" spans="1:19">
      <c r="A1117" s="92">
        <v>43166</v>
      </c>
      <c r="C1117" s="1" t="s">
        <v>56</v>
      </c>
      <c r="E1117" s="98" t="s">
        <v>594</v>
      </c>
      <c r="F1117" s="1" t="s">
        <v>595</v>
      </c>
      <c r="G1117" s="1" t="s">
        <v>2813</v>
      </c>
      <c r="H1117" s="1">
        <v>5</v>
      </c>
      <c r="I1117" s="1" t="s">
        <v>593</v>
      </c>
      <c r="J1117" s="1">
        <v>5</v>
      </c>
      <c r="K1117" s="1" t="s">
        <v>596</v>
      </c>
      <c r="L1117" s="1" t="s">
        <v>77</v>
      </c>
      <c r="M1117" s="1" t="s">
        <v>78</v>
      </c>
      <c r="N1117" s="1" t="s">
        <v>79</v>
      </c>
      <c r="O1117" s="1" t="s">
        <v>80</v>
      </c>
      <c r="P1117" s="1" t="s">
        <v>81</v>
      </c>
      <c r="R1117" s="93">
        <v>43166</v>
      </c>
      <c r="S1117" s="93" t="s">
        <v>2714</v>
      </c>
    </row>
    <row r="1118" spans="1:19">
      <c r="A1118" s="92">
        <v>43167</v>
      </c>
      <c r="C1118" s="1" t="s">
        <v>56</v>
      </c>
      <c r="E1118" s="98" t="s">
        <v>641</v>
      </c>
      <c r="F1118" s="1" t="s">
        <v>642</v>
      </c>
      <c r="G1118" s="1" t="s">
        <v>2814</v>
      </c>
      <c r="H1118" s="1">
        <v>12.84</v>
      </c>
      <c r="I1118" s="1" t="s">
        <v>640</v>
      </c>
      <c r="J1118" s="1">
        <v>7.7039999999999997</v>
      </c>
      <c r="K1118" s="1" t="s">
        <v>178</v>
      </c>
      <c r="L1118" s="1" t="s">
        <v>77</v>
      </c>
      <c r="M1118" s="1" t="s">
        <v>78</v>
      </c>
      <c r="N1118" s="1" t="s">
        <v>79</v>
      </c>
      <c r="O1118" s="1" t="s">
        <v>80</v>
      </c>
      <c r="P1118" s="1" t="s">
        <v>81</v>
      </c>
      <c r="R1118" s="93">
        <v>43167</v>
      </c>
      <c r="S1118" s="93" t="s">
        <v>2697</v>
      </c>
    </row>
    <row r="1119" spans="1:19">
      <c r="A1119" s="92">
        <v>43168</v>
      </c>
      <c r="C1119" s="1" t="s">
        <v>56</v>
      </c>
      <c r="E1119" s="98" t="s">
        <v>689</v>
      </c>
      <c r="F1119" s="1" t="s">
        <v>690</v>
      </c>
      <c r="G1119" s="1" t="s">
        <v>2815</v>
      </c>
      <c r="H1119" s="1">
        <v>11.3</v>
      </c>
      <c r="I1119" s="1" t="s">
        <v>679</v>
      </c>
      <c r="J1119" s="1">
        <v>11.3</v>
      </c>
      <c r="K1119" s="1" t="s">
        <v>187</v>
      </c>
      <c r="L1119" s="1" t="s">
        <v>187</v>
      </c>
      <c r="M1119" s="1" t="s">
        <v>78</v>
      </c>
      <c r="N1119" s="1" t="s">
        <v>79</v>
      </c>
      <c r="O1119" s="1" t="s">
        <v>80</v>
      </c>
      <c r="P1119" s="1" t="s">
        <v>81</v>
      </c>
      <c r="R1119" s="93">
        <v>43168</v>
      </c>
      <c r="S1119" s="93" t="s">
        <v>2716</v>
      </c>
    </row>
    <row r="1120" spans="1:19">
      <c r="A1120" s="92">
        <v>43169</v>
      </c>
      <c r="C1120" s="1" t="s">
        <v>56</v>
      </c>
      <c r="E1120" s="98" t="s">
        <v>708</v>
      </c>
      <c r="F1120" s="1" t="s">
        <v>709</v>
      </c>
      <c r="G1120" s="1" t="s">
        <v>2816</v>
      </c>
      <c r="H1120" s="1">
        <v>1</v>
      </c>
      <c r="I1120" s="1" t="s">
        <v>707</v>
      </c>
      <c r="J1120" s="1">
        <v>1</v>
      </c>
      <c r="K1120" s="1" t="s">
        <v>480</v>
      </c>
      <c r="L1120" s="1" t="s">
        <v>187</v>
      </c>
      <c r="M1120" s="1" t="s">
        <v>78</v>
      </c>
      <c r="N1120" s="1" t="s">
        <v>79</v>
      </c>
      <c r="O1120" s="1" t="s">
        <v>80</v>
      </c>
      <c r="P1120" s="1" t="s">
        <v>81</v>
      </c>
      <c r="R1120" s="93">
        <v>43169</v>
      </c>
      <c r="S1120" s="93" t="s">
        <v>2718</v>
      </c>
    </row>
    <row r="1121" spans="1:19">
      <c r="A1121" s="92">
        <v>43170</v>
      </c>
      <c r="C1121" s="1" t="s">
        <v>56</v>
      </c>
      <c r="E1121" s="98" t="s">
        <v>746</v>
      </c>
      <c r="F1121" s="1" t="s">
        <v>747</v>
      </c>
      <c r="G1121" s="1" t="s">
        <v>2817</v>
      </c>
      <c r="H1121" s="1">
        <v>0.49</v>
      </c>
      <c r="I1121" s="1" t="s">
        <v>707</v>
      </c>
      <c r="J1121" s="1">
        <v>0.49</v>
      </c>
      <c r="K1121" s="1" t="s">
        <v>161</v>
      </c>
      <c r="L1121" s="1" t="s">
        <v>77</v>
      </c>
      <c r="M1121" s="1" t="s">
        <v>78</v>
      </c>
      <c r="N1121" s="1" t="s">
        <v>79</v>
      </c>
      <c r="O1121" s="1" t="s">
        <v>80</v>
      </c>
      <c r="P1121" s="1" t="s">
        <v>81</v>
      </c>
      <c r="R1121" s="93">
        <v>43170</v>
      </c>
      <c r="S1121" s="93" t="s">
        <v>2718</v>
      </c>
    </row>
    <row r="1122" spans="1:19">
      <c r="A1122" s="92">
        <v>43169</v>
      </c>
      <c r="C1122" s="1" t="s">
        <v>56</v>
      </c>
      <c r="E1122" s="98" t="s">
        <v>159</v>
      </c>
      <c r="F1122" s="1" t="s">
        <v>160</v>
      </c>
      <c r="G1122" s="1" t="s">
        <v>2793</v>
      </c>
      <c r="H1122" s="1">
        <v>0.2</v>
      </c>
      <c r="I1122" s="1" t="s">
        <v>752</v>
      </c>
      <c r="J1122" s="1">
        <v>0.12</v>
      </c>
      <c r="K1122" s="1" t="s">
        <v>161</v>
      </c>
      <c r="L1122" s="1" t="s">
        <v>77</v>
      </c>
      <c r="M1122" s="1" t="s">
        <v>78</v>
      </c>
      <c r="N1122" s="1" t="s">
        <v>79</v>
      </c>
      <c r="O1122" s="1" t="s">
        <v>80</v>
      </c>
      <c r="P1122" s="1" t="s">
        <v>81</v>
      </c>
      <c r="R1122" s="93">
        <v>43169</v>
      </c>
      <c r="S1122" s="93" t="s">
        <v>2719</v>
      </c>
    </row>
    <row r="1123" spans="1:19">
      <c r="A1123" s="92">
        <v>43169</v>
      </c>
      <c r="C1123" s="1" t="s">
        <v>56</v>
      </c>
      <c r="E1123" s="98" t="s">
        <v>770</v>
      </c>
      <c r="F1123" s="1" t="s">
        <v>356</v>
      </c>
      <c r="G1123" s="1" t="s">
        <v>2818</v>
      </c>
      <c r="H1123" s="1">
        <v>12</v>
      </c>
      <c r="I1123" s="1" t="s">
        <v>763</v>
      </c>
      <c r="J1123" s="1">
        <v>3.6</v>
      </c>
      <c r="K1123" s="1" t="s">
        <v>356</v>
      </c>
      <c r="L1123" s="1" t="s">
        <v>187</v>
      </c>
      <c r="M1123" s="1" t="s">
        <v>78</v>
      </c>
      <c r="N1123" s="1" t="s">
        <v>79</v>
      </c>
      <c r="O1123" s="1" t="s">
        <v>80</v>
      </c>
      <c r="P1123" s="1" t="s">
        <v>81</v>
      </c>
      <c r="R1123" s="93">
        <v>43169</v>
      </c>
      <c r="S1123" s="93" t="s">
        <v>2721</v>
      </c>
    </row>
    <row r="1124" spans="1:19">
      <c r="A1124" s="92">
        <v>43169</v>
      </c>
      <c r="C1124" s="1" t="s">
        <v>56</v>
      </c>
      <c r="E1124" s="98" t="s">
        <v>771</v>
      </c>
      <c r="F1124" s="1" t="s">
        <v>772</v>
      </c>
      <c r="G1124" s="1" t="s">
        <v>2782</v>
      </c>
      <c r="H1124" s="1">
        <v>2.16</v>
      </c>
      <c r="I1124" s="1" t="s">
        <v>763</v>
      </c>
      <c r="J1124" s="1">
        <v>0.64800000000000002</v>
      </c>
      <c r="K1124" s="1" t="s">
        <v>773</v>
      </c>
      <c r="L1124" s="1" t="s">
        <v>187</v>
      </c>
      <c r="M1124" s="1" t="s">
        <v>78</v>
      </c>
      <c r="N1124" s="1" t="s">
        <v>79</v>
      </c>
      <c r="O1124" s="1" t="s">
        <v>80</v>
      </c>
      <c r="P1124" s="1" t="s">
        <v>81</v>
      </c>
      <c r="R1124" s="93">
        <v>43169</v>
      </c>
      <c r="S1124" s="93" t="s">
        <v>2721</v>
      </c>
    </row>
    <row r="1125" spans="1:19">
      <c r="A1125" s="92">
        <v>43170</v>
      </c>
      <c r="C1125" s="1" t="s">
        <v>56</v>
      </c>
      <c r="E1125" s="98" t="s">
        <v>746</v>
      </c>
      <c r="F1125" s="1" t="s">
        <v>747</v>
      </c>
      <c r="G1125" s="1" t="s">
        <v>2817</v>
      </c>
      <c r="H1125" s="1">
        <v>1.2</v>
      </c>
      <c r="I1125" s="1" t="s">
        <v>763</v>
      </c>
      <c r="J1125" s="1">
        <v>0.36</v>
      </c>
      <c r="K1125" s="1" t="s">
        <v>161</v>
      </c>
      <c r="L1125" s="1" t="s">
        <v>77</v>
      </c>
      <c r="M1125" s="1" t="s">
        <v>78</v>
      </c>
      <c r="N1125" s="1" t="s">
        <v>79</v>
      </c>
      <c r="O1125" s="1" t="s">
        <v>80</v>
      </c>
      <c r="P1125" s="1" t="s">
        <v>81</v>
      </c>
      <c r="R1125" s="93">
        <v>43170</v>
      </c>
      <c r="S1125" s="93" t="s">
        <v>2721</v>
      </c>
    </row>
    <row r="1126" spans="1:19">
      <c r="A1126" s="92">
        <v>43171</v>
      </c>
      <c r="C1126" s="1" t="s">
        <v>66</v>
      </c>
      <c r="E1126" s="98" t="s">
        <v>802</v>
      </c>
      <c r="F1126" s="1" t="s">
        <v>803</v>
      </c>
      <c r="G1126" s="1" t="s">
        <v>2819</v>
      </c>
      <c r="H1126" s="1">
        <v>1</v>
      </c>
      <c r="I1126" s="1" t="s">
        <v>763</v>
      </c>
      <c r="J1126" s="1">
        <v>0.3</v>
      </c>
      <c r="K1126" s="1" t="s">
        <v>596</v>
      </c>
      <c r="L1126" s="1" t="s">
        <v>77</v>
      </c>
      <c r="M1126" s="1" t="s">
        <v>78</v>
      </c>
      <c r="N1126" s="1" t="s">
        <v>79</v>
      </c>
      <c r="O1126" s="1" t="s">
        <v>80</v>
      </c>
      <c r="P1126" s="1" t="s">
        <v>81</v>
      </c>
      <c r="R1126" s="93">
        <v>43171</v>
      </c>
      <c r="S1126" s="93" t="s">
        <v>2721</v>
      </c>
    </row>
    <row r="1127" spans="1:19">
      <c r="A1127" s="92">
        <v>43171</v>
      </c>
      <c r="C1127" s="1" t="s">
        <v>66</v>
      </c>
      <c r="E1127" s="98" t="s">
        <v>809</v>
      </c>
      <c r="F1127" s="1" t="s">
        <v>810</v>
      </c>
      <c r="G1127" s="1" t="s">
        <v>2820</v>
      </c>
      <c r="H1127" s="1">
        <v>2</v>
      </c>
      <c r="I1127" s="1" t="s">
        <v>808</v>
      </c>
      <c r="J1127" s="1">
        <v>0.6</v>
      </c>
      <c r="K1127" s="1" t="s">
        <v>596</v>
      </c>
      <c r="L1127" s="1" t="s">
        <v>77</v>
      </c>
      <c r="M1127" s="1" t="s">
        <v>78</v>
      </c>
      <c r="N1127" s="1" t="s">
        <v>79</v>
      </c>
      <c r="O1127" s="1" t="s">
        <v>80</v>
      </c>
      <c r="P1127" s="1" t="s">
        <v>81</v>
      </c>
      <c r="R1127" s="93">
        <v>43171</v>
      </c>
      <c r="S1127" s="93" t="s">
        <v>2722</v>
      </c>
    </row>
    <row r="1128" spans="1:19">
      <c r="A1128" s="92">
        <v>43171</v>
      </c>
      <c r="C1128" s="1" t="s">
        <v>66</v>
      </c>
      <c r="E1128" s="98" t="s">
        <v>809</v>
      </c>
      <c r="F1128" s="1" t="s">
        <v>810</v>
      </c>
      <c r="G1128" s="1" t="s">
        <v>2820</v>
      </c>
      <c r="H1128" s="1">
        <v>3</v>
      </c>
      <c r="I1128" s="1" t="s">
        <v>808</v>
      </c>
      <c r="J1128" s="1">
        <v>0.9</v>
      </c>
      <c r="K1128" s="1" t="s">
        <v>596</v>
      </c>
      <c r="L1128" s="1" t="s">
        <v>77</v>
      </c>
      <c r="M1128" s="1" t="s">
        <v>78</v>
      </c>
      <c r="N1128" s="1" t="s">
        <v>79</v>
      </c>
      <c r="O1128" s="1" t="s">
        <v>80</v>
      </c>
      <c r="P1128" s="1" t="s">
        <v>81</v>
      </c>
      <c r="R1128" s="93">
        <v>43171</v>
      </c>
      <c r="S1128" s="93" t="s">
        <v>2722</v>
      </c>
    </row>
    <row r="1129" spans="1:19">
      <c r="A1129" s="92">
        <v>43171</v>
      </c>
      <c r="C1129" s="1" t="s">
        <v>56</v>
      </c>
      <c r="E1129" s="98" t="s">
        <v>826</v>
      </c>
      <c r="F1129" s="1" t="s">
        <v>827</v>
      </c>
      <c r="G1129" s="1" t="s">
        <v>2821</v>
      </c>
      <c r="H1129" s="1">
        <v>20</v>
      </c>
      <c r="I1129" s="1" t="s">
        <v>825</v>
      </c>
      <c r="J1129" s="1">
        <v>20</v>
      </c>
      <c r="K1129" s="1" t="s">
        <v>178</v>
      </c>
      <c r="L1129" s="1" t="s">
        <v>77</v>
      </c>
      <c r="M1129" s="1" t="s">
        <v>78</v>
      </c>
      <c r="N1129" s="1" t="s">
        <v>79</v>
      </c>
      <c r="O1129" s="1" t="s">
        <v>80</v>
      </c>
      <c r="P1129" s="1" t="s">
        <v>81</v>
      </c>
      <c r="R1129" s="93">
        <v>43171</v>
      </c>
      <c r="S1129" s="93" t="s">
        <v>2724</v>
      </c>
    </row>
    <row r="1130" spans="1:19">
      <c r="A1130" s="92">
        <v>43171</v>
      </c>
      <c r="C1130" s="1" t="s">
        <v>66</v>
      </c>
      <c r="E1130" s="98" t="s">
        <v>809</v>
      </c>
      <c r="F1130" s="1" t="s">
        <v>810</v>
      </c>
      <c r="G1130" s="1" t="s">
        <v>2820</v>
      </c>
      <c r="H1130" s="1">
        <v>5</v>
      </c>
      <c r="I1130" s="1" t="s">
        <v>832</v>
      </c>
      <c r="J1130" s="1">
        <v>3</v>
      </c>
      <c r="K1130" s="1" t="s">
        <v>596</v>
      </c>
      <c r="L1130" s="1" t="s">
        <v>77</v>
      </c>
      <c r="M1130" s="1" t="s">
        <v>78</v>
      </c>
      <c r="N1130" s="1" t="s">
        <v>79</v>
      </c>
      <c r="O1130" s="1" t="s">
        <v>80</v>
      </c>
      <c r="P1130" s="1" t="s">
        <v>81</v>
      </c>
      <c r="R1130" s="93">
        <v>43171</v>
      </c>
      <c r="S1130" s="93" t="s">
        <v>2725</v>
      </c>
    </row>
    <row r="1131" spans="1:19">
      <c r="A1131" s="92">
        <v>43171</v>
      </c>
      <c r="C1131" s="1" t="s">
        <v>66</v>
      </c>
      <c r="E1131" s="98" t="s">
        <v>809</v>
      </c>
      <c r="F1131" s="1" t="s">
        <v>810</v>
      </c>
      <c r="G1131" s="1" t="s">
        <v>2820</v>
      </c>
      <c r="H1131" s="1">
        <v>10</v>
      </c>
      <c r="I1131" s="1" t="s">
        <v>832</v>
      </c>
      <c r="J1131" s="1">
        <v>6</v>
      </c>
      <c r="K1131" s="1" t="s">
        <v>596</v>
      </c>
      <c r="L1131" s="1" t="s">
        <v>77</v>
      </c>
      <c r="M1131" s="1" t="s">
        <v>78</v>
      </c>
      <c r="N1131" s="1" t="s">
        <v>79</v>
      </c>
      <c r="O1131" s="1" t="s">
        <v>80</v>
      </c>
      <c r="P1131" s="1" t="s">
        <v>81</v>
      </c>
      <c r="R1131" s="93">
        <v>43171</v>
      </c>
      <c r="S1131" s="93" t="s">
        <v>2725</v>
      </c>
    </row>
    <row r="1132" spans="1:19">
      <c r="A1132" s="92">
        <v>43172</v>
      </c>
      <c r="C1132" s="1" t="s">
        <v>56</v>
      </c>
      <c r="E1132" s="98" t="s">
        <v>866</v>
      </c>
      <c r="F1132" s="1" t="s">
        <v>867</v>
      </c>
      <c r="G1132" s="1" t="s">
        <v>2822</v>
      </c>
      <c r="H1132" s="1">
        <v>3</v>
      </c>
      <c r="I1132" s="1" t="s">
        <v>858</v>
      </c>
      <c r="J1132" s="1">
        <v>3</v>
      </c>
      <c r="K1132" s="1" t="s">
        <v>187</v>
      </c>
      <c r="L1132" s="1" t="s">
        <v>187</v>
      </c>
      <c r="M1132" s="1" t="s">
        <v>78</v>
      </c>
      <c r="N1132" s="1" t="s">
        <v>79</v>
      </c>
      <c r="O1132" s="1" t="s">
        <v>80</v>
      </c>
      <c r="P1132" s="1" t="s">
        <v>81</v>
      </c>
      <c r="R1132" s="93">
        <v>43172</v>
      </c>
      <c r="S1132" s="93" t="s">
        <v>2726</v>
      </c>
    </row>
    <row r="1133" spans="1:19">
      <c r="A1133" s="92">
        <v>43173</v>
      </c>
      <c r="C1133" s="1" t="s">
        <v>56</v>
      </c>
      <c r="E1133" s="98" t="s">
        <v>913</v>
      </c>
      <c r="F1133" s="1" t="s">
        <v>914</v>
      </c>
      <c r="G1133" s="1" t="s">
        <v>2779</v>
      </c>
      <c r="H1133" s="1">
        <v>1.01</v>
      </c>
      <c r="I1133" s="1" t="s">
        <v>907</v>
      </c>
      <c r="J1133" s="1">
        <v>0.30299999999999999</v>
      </c>
      <c r="K1133" s="1" t="s">
        <v>189</v>
      </c>
      <c r="L1133" s="1" t="s">
        <v>77</v>
      </c>
      <c r="M1133" s="1" t="s">
        <v>78</v>
      </c>
      <c r="N1133" s="1" t="s">
        <v>79</v>
      </c>
      <c r="O1133" s="1" t="s">
        <v>80</v>
      </c>
      <c r="P1133" s="1" t="s">
        <v>81</v>
      </c>
      <c r="R1133" s="93">
        <v>43173</v>
      </c>
      <c r="S1133" s="93" t="s">
        <v>2729</v>
      </c>
    </row>
    <row r="1134" spans="1:19">
      <c r="A1134" s="92">
        <v>43174</v>
      </c>
      <c r="C1134" s="1" t="s">
        <v>56</v>
      </c>
      <c r="E1134" s="98" t="s">
        <v>960</v>
      </c>
      <c r="F1134" s="1" t="s">
        <v>961</v>
      </c>
      <c r="G1134" s="1" t="s">
        <v>2823</v>
      </c>
      <c r="H1134" s="1">
        <v>2</v>
      </c>
      <c r="I1134" s="1" t="s">
        <v>954</v>
      </c>
      <c r="J1134" s="1">
        <v>2</v>
      </c>
      <c r="K1134" s="1" t="s">
        <v>161</v>
      </c>
      <c r="L1134" s="1" t="s">
        <v>77</v>
      </c>
      <c r="M1134" s="1" t="s">
        <v>78</v>
      </c>
      <c r="N1134" s="1" t="s">
        <v>79</v>
      </c>
      <c r="O1134" s="1" t="s">
        <v>80</v>
      </c>
      <c r="P1134" s="1" t="s">
        <v>81</v>
      </c>
      <c r="R1134" s="93">
        <v>43174</v>
      </c>
      <c r="S1134" s="93" t="s">
        <v>2731</v>
      </c>
    </row>
    <row r="1135" spans="1:19">
      <c r="A1135" s="92">
        <v>43174</v>
      </c>
      <c r="C1135" s="1" t="s">
        <v>66</v>
      </c>
      <c r="E1135" s="98" t="s">
        <v>962</v>
      </c>
      <c r="F1135" s="1" t="s">
        <v>963</v>
      </c>
      <c r="G1135" s="1" t="s">
        <v>2824</v>
      </c>
      <c r="H1135" s="1">
        <v>1</v>
      </c>
      <c r="I1135" s="1" t="s">
        <v>954</v>
      </c>
      <c r="J1135" s="1">
        <v>1</v>
      </c>
      <c r="K1135" s="1" t="s">
        <v>161</v>
      </c>
      <c r="L1135" s="1" t="s">
        <v>77</v>
      </c>
      <c r="M1135" s="1" t="s">
        <v>78</v>
      </c>
      <c r="N1135" s="1" t="s">
        <v>79</v>
      </c>
      <c r="O1135" s="1" t="s">
        <v>80</v>
      </c>
      <c r="P1135" s="1" t="s">
        <v>81</v>
      </c>
      <c r="R1135" s="93">
        <v>43174</v>
      </c>
      <c r="S1135" s="93" t="s">
        <v>2731</v>
      </c>
    </row>
    <row r="1136" spans="1:19">
      <c r="A1136" s="92">
        <v>43174</v>
      </c>
      <c r="C1136" s="1" t="s">
        <v>56</v>
      </c>
      <c r="E1136" s="98" t="s">
        <v>974</v>
      </c>
      <c r="F1136" s="1" t="s">
        <v>161</v>
      </c>
      <c r="G1136" s="1" t="s">
        <v>2825</v>
      </c>
      <c r="H1136" s="1">
        <v>2</v>
      </c>
      <c r="I1136" s="1" t="s">
        <v>954</v>
      </c>
      <c r="J1136" s="1">
        <v>2</v>
      </c>
      <c r="K1136" s="1" t="s">
        <v>161</v>
      </c>
      <c r="L1136" s="1" t="s">
        <v>77</v>
      </c>
      <c r="M1136" s="1" t="s">
        <v>78</v>
      </c>
      <c r="N1136" s="1" t="s">
        <v>79</v>
      </c>
      <c r="O1136" s="1" t="s">
        <v>80</v>
      </c>
      <c r="P1136" s="1" t="s">
        <v>81</v>
      </c>
      <c r="R1136" s="93">
        <v>43174</v>
      </c>
      <c r="S1136" s="93" t="s">
        <v>2731</v>
      </c>
    </row>
    <row r="1137" spans="1:19">
      <c r="A1137" s="92">
        <v>43174</v>
      </c>
      <c r="C1137" s="1" t="s">
        <v>56</v>
      </c>
      <c r="E1137" s="98" t="s">
        <v>771</v>
      </c>
      <c r="F1137" s="1" t="s">
        <v>772</v>
      </c>
      <c r="G1137" s="1" t="s">
        <v>2782</v>
      </c>
      <c r="H1137" s="1">
        <v>1</v>
      </c>
      <c r="I1137" s="1" t="s">
        <v>991</v>
      </c>
      <c r="J1137" s="1">
        <v>0.3</v>
      </c>
      <c r="K1137" s="1" t="s">
        <v>773</v>
      </c>
      <c r="L1137" s="1" t="s">
        <v>187</v>
      </c>
      <c r="M1137" s="1" t="s">
        <v>78</v>
      </c>
      <c r="N1137" s="1" t="s">
        <v>79</v>
      </c>
      <c r="O1137" s="1" t="s">
        <v>80</v>
      </c>
      <c r="P1137" s="1" t="s">
        <v>81</v>
      </c>
      <c r="R1137" s="93">
        <v>43174</v>
      </c>
      <c r="S1137" s="93" t="s">
        <v>2733</v>
      </c>
    </row>
    <row r="1138" spans="1:19">
      <c r="A1138" s="92">
        <v>43174</v>
      </c>
      <c r="C1138" s="1" t="s">
        <v>66</v>
      </c>
      <c r="E1138" s="98" t="s">
        <v>996</v>
      </c>
      <c r="F1138" s="1" t="s">
        <v>997</v>
      </c>
      <c r="G1138" s="1" t="s">
        <v>2826</v>
      </c>
      <c r="H1138" s="1">
        <v>0.8</v>
      </c>
      <c r="I1138" s="1" t="s">
        <v>991</v>
      </c>
      <c r="J1138" s="1">
        <v>0.24</v>
      </c>
      <c r="K1138" s="1" t="s">
        <v>474</v>
      </c>
      <c r="L1138" s="1" t="s">
        <v>187</v>
      </c>
      <c r="M1138" s="1" t="s">
        <v>78</v>
      </c>
      <c r="N1138" s="1" t="s">
        <v>79</v>
      </c>
      <c r="O1138" s="1" t="s">
        <v>80</v>
      </c>
      <c r="P1138" s="1" t="s">
        <v>81</v>
      </c>
      <c r="R1138" s="93">
        <v>43174</v>
      </c>
      <c r="S1138" s="93" t="s">
        <v>2733</v>
      </c>
    </row>
    <row r="1139" spans="1:19">
      <c r="A1139" s="92">
        <v>43174</v>
      </c>
      <c r="C1139" s="1" t="s">
        <v>56</v>
      </c>
      <c r="E1139" s="98" t="s">
        <v>1007</v>
      </c>
      <c r="F1139" s="1" t="s">
        <v>1008</v>
      </c>
      <c r="G1139" s="1" t="s">
        <v>2827</v>
      </c>
      <c r="H1139" s="1">
        <v>0.5</v>
      </c>
      <c r="I1139" s="1" t="s">
        <v>991</v>
      </c>
      <c r="J1139" s="1">
        <v>0.15</v>
      </c>
      <c r="K1139" s="1" t="s">
        <v>161</v>
      </c>
      <c r="L1139" s="1" t="s">
        <v>77</v>
      </c>
      <c r="M1139" s="1" t="s">
        <v>78</v>
      </c>
      <c r="N1139" s="1" t="s">
        <v>79</v>
      </c>
      <c r="O1139" s="1" t="s">
        <v>80</v>
      </c>
      <c r="P1139" s="1" t="s">
        <v>81</v>
      </c>
      <c r="R1139" s="93">
        <v>43174</v>
      </c>
      <c r="S1139" s="93" t="s">
        <v>2733</v>
      </c>
    </row>
    <row r="1140" spans="1:19">
      <c r="A1140" s="92">
        <v>43175</v>
      </c>
      <c r="C1140" s="1" t="s">
        <v>56</v>
      </c>
      <c r="E1140" s="98" t="s">
        <v>1020</v>
      </c>
      <c r="F1140" s="1" t="s">
        <v>186</v>
      </c>
      <c r="G1140" s="1" t="s">
        <v>2828</v>
      </c>
      <c r="H1140" s="1">
        <v>10</v>
      </c>
      <c r="I1140" s="1" t="s">
        <v>1019</v>
      </c>
      <c r="J1140" s="1">
        <v>3</v>
      </c>
      <c r="K1140" s="1" t="s">
        <v>186</v>
      </c>
      <c r="L1140" s="1" t="s">
        <v>187</v>
      </c>
      <c r="M1140" s="1" t="s">
        <v>78</v>
      </c>
      <c r="N1140" s="1" t="s">
        <v>79</v>
      </c>
      <c r="O1140" s="1" t="s">
        <v>80</v>
      </c>
      <c r="P1140" s="1" t="s">
        <v>81</v>
      </c>
      <c r="R1140" s="93">
        <v>43175</v>
      </c>
      <c r="S1140" s="93" t="s">
        <v>2733</v>
      </c>
    </row>
    <row r="1141" spans="1:19">
      <c r="A1141" s="92">
        <v>43175</v>
      </c>
      <c r="C1141" s="1" t="s">
        <v>56</v>
      </c>
      <c r="E1141" s="98" t="s">
        <v>1020</v>
      </c>
      <c r="F1141" s="1" t="s">
        <v>186</v>
      </c>
      <c r="G1141" s="1" t="s">
        <v>2828</v>
      </c>
      <c r="H1141" s="1">
        <v>0.01</v>
      </c>
      <c r="I1141" s="1" t="s">
        <v>1019</v>
      </c>
      <c r="J1141" s="1">
        <v>3.0000000000000001E-3</v>
      </c>
      <c r="K1141" s="1" t="s">
        <v>186</v>
      </c>
      <c r="L1141" s="1" t="s">
        <v>187</v>
      </c>
      <c r="M1141" s="1" t="s">
        <v>78</v>
      </c>
      <c r="N1141" s="1" t="s">
        <v>79</v>
      </c>
      <c r="O1141" s="1" t="s">
        <v>80</v>
      </c>
      <c r="P1141" s="1" t="s">
        <v>81</v>
      </c>
      <c r="R1141" s="93">
        <v>43175</v>
      </c>
      <c r="S1141" s="93" t="s">
        <v>2733</v>
      </c>
    </row>
    <row r="1142" spans="1:19">
      <c r="A1142" s="92">
        <v>43175</v>
      </c>
      <c r="C1142" s="1" t="s">
        <v>66</v>
      </c>
      <c r="E1142" s="98" t="s">
        <v>1026</v>
      </c>
      <c r="F1142" s="1" t="s">
        <v>1027</v>
      </c>
      <c r="G1142" s="1" t="s">
        <v>2829</v>
      </c>
      <c r="H1142" s="1">
        <v>0.5</v>
      </c>
      <c r="I1142" s="1" t="s">
        <v>1019</v>
      </c>
      <c r="J1142" s="1">
        <v>0.15</v>
      </c>
      <c r="K1142" s="1" t="s">
        <v>161</v>
      </c>
      <c r="L1142" s="1" t="s">
        <v>77</v>
      </c>
      <c r="M1142" s="1" t="s">
        <v>78</v>
      </c>
      <c r="N1142" s="1" t="s">
        <v>79</v>
      </c>
      <c r="O1142" s="1" t="s">
        <v>80</v>
      </c>
      <c r="P1142" s="1" t="s">
        <v>81</v>
      </c>
      <c r="R1142" s="93">
        <v>43175</v>
      </c>
      <c r="S1142" s="93" t="s">
        <v>2733</v>
      </c>
    </row>
    <row r="1143" spans="1:19">
      <c r="A1143" s="92">
        <v>43175</v>
      </c>
      <c r="C1143" s="1" t="s">
        <v>66</v>
      </c>
      <c r="E1143" s="98" t="s">
        <v>1030</v>
      </c>
      <c r="F1143" s="1" t="s">
        <v>1031</v>
      </c>
      <c r="G1143" s="1" t="s">
        <v>2830</v>
      </c>
      <c r="H1143" s="1">
        <v>10</v>
      </c>
      <c r="I1143" s="1" t="s">
        <v>1019</v>
      </c>
      <c r="J1143" s="1">
        <v>3</v>
      </c>
      <c r="K1143" s="1" t="s">
        <v>187</v>
      </c>
      <c r="L1143" s="1" t="s">
        <v>187</v>
      </c>
      <c r="M1143" s="1" t="s">
        <v>78</v>
      </c>
      <c r="N1143" s="1" t="s">
        <v>79</v>
      </c>
      <c r="O1143" s="1" t="s">
        <v>80</v>
      </c>
      <c r="P1143" s="1" t="s">
        <v>81</v>
      </c>
      <c r="R1143" s="93">
        <v>43175</v>
      </c>
      <c r="S1143" s="93" t="s">
        <v>2733</v>
      </c>
    </row>
    <row r="1144" spans="1:19">
      <c r="A1144" s="92">
        <v>43175</v>
      </c>
      <c r="C1144" s="1" t="s">
        <v>56</v>
      </c>
      <c r="E1144" s="98" t="s">
        <v>1032</v>
      </c>
      <c r="F1144" s="1" t="s">
        <v>1033</v>
      </c>
      <c r="G1144" s="1" t="s">
        <v>2831</v>
      </c>
      <c r="H1144" s="1">
        <v>30</v>
      </c>
      <c r="I1144" s="1" t="s">
        <v>1019</v>
      </c>
      <c r="J1144" s="1">
        <v>9</v>
      </c>
      <c r="K1144" s="1" t="s">
        <v>76</v>
      </c>
      <c r="L1144" s="1" t="s">
        <v>77</v>
      </c>
      <c r="M1144" s="1" t="s">
        <v>78</v>
      </c>
      <c r="N1144" s="1" t="s">
        <v>79</v>
      </c>
      <c r="O1144" s="1" t="s">
        <v>80</v>
      </c>
      <c r="P1144" s="1" t="s">
        <v>81</v>
      </c>
      <c r="R1144" s="93">
        <v>43175</v>
      </c>
      <c r="S1144" s="93" t="s">
        <v>2733</v>
      </c>
    </row>
    <row r="1145" spans="1:19">
      <c r="A1145" s="92">
        <v>43175</v>
      </c>
      <c r="C1145" s="1" t="s">
        <v>56</v>
      </c>
      <c r="E1145" s="98" t="s">
        <v>1042</v>
      </c>
      <c r="F1145" s="1" t="s">
        <v>1043</v>
      </c>
      <c r="G1145" s="1" t="s">
        <v>2832</v>
      </c>
      <c r="H1145" s="1">
        <v>1.4</v>
      </c>
      <c r="I1145" s="1" t="s">
        <v>1041</v>
      </c>
      <c r="J1145" s="1">
        <v>0.84</v>
      </c>
      <c r="K1145" s="1" t="s">
        <v>178</v>
      </c>
      <c r="L1145" s="1" t="s">
        <v>77</v>
      </c>
      <c r="M1145" s="1" t="s">
        <v>78</v>
      </c>
      <c r="N1145" s="1" t="s">
        <v>79</v>
      </c>
      <c r="O1145" s="1" t="s">
        <v>80</v>
      </c>
      <c r="P1145" s="1" t="s">
        <v>81</v>
      </c>
      <c r="R1145" s="93">
        <v>43175</v>
      </c>
      <c r="S1145" s="93" t="s">
        <v>2732</v>
      </c>
    </row>
    <row r="1146" spans="1:19">
      <c r="A1146" s="92">
        <v>43175</v>
      </c>
      <c r="C1146" s="1" t="s">
        <v>56</v>
      </c>
      <c r="E1146" s="98" t="s">
        <v>159</v>
      </c>
      <c r="F1146" s="1" t="s">
        <v>160</v>
      </c>
      <c r="G1146" s="1" t="s">
        <v>2793</v>
      </c>
      <c r="H1146" s="1">
        <v>0.2</v>
      </c>
      <c r="I1146" s="1" t="s">
        <v>1041</v>
      </c>
      <c r="J1146" s="1">
        <v>0.12</v>
      </c>
      <c r="K1146" s="1" t="s">
        <v>161</v>
      </c>
      <c r="L1146" s="1" t="s">
        <v>77</v>
      </c>
      <c r="M1146" s="1" t="s">
        <v>78</v>
      </c>
      <c r="N1146" s="1" t="s">
        <v>79</v>
      </c>
      <c r="O1146" s="1" t="s">
        <v>80</v>
      </c>
      <c r="P1146" s="1" t="s">
        <v>81</v>
      </c>
      <c r="R1146" s="93">
        <v>43175</v>
      </c>
      <c r="S1146" s="93" t="s">
        <v>2732</v>
      </c>
    </row>
    <row r="1147" spans="1:19">
      <c r="A1147" s="92">
        <v>43175</v>
      </c>
      <c r="C1147" s="1" t="s">
        <v>56</v>
      </c>
      <c r="E1147" s="98" t="s">
        <v>1049</v>
      </c>
      <c r="F1147" s="1" t="s">
        <v>1050</v>
      </c>
      <c r="G1147" s="1" t="s">
        <v>2833</v>
      </c>
      <c r="H1147" s="1">
        <v>5</v>
      </c>
      <c r="I1147" s="1" t="s">
        <v>1046</v>
      </c>
      <c r="J1147" s="1">
        <v>5</v>
      </c>
      <c r="K1147" s="1" t="s">
        <v>189</v>
      </c>
      <c r="L1147" s="1" t="s">
        <v>77</v>
      </c>
      <c r="M1147" s="1" t="s">
        <v>78</v>
      </c>
      <c r="N1147" s="1" t="s">
        <v>79</v>
      </c>
      <c r="O1147" s="1" t="s">
        <v>80</v>
      </c>
      <c r="P1147" s="1" t="s">
        <v>81</v>
      </c>
      <c r="R1147" s="93">
        <v>43175</v>
      </c>
      <c r="S1147" s="93" t="s">
        <v>2731</v>
      </c>
    </row>
    <row r="1148" spans="1:19">
      <c r="A1148" s="92">
        <v>43175</v>
      </c>
      <c r="C1148" s="1" t="s">
        <v>56</v>
      </c>
      <c r="E1148" s="98" t="s">
        <v>1062</v>
      </c>
      <c r="F1148" s="1" t="s">
        <v>1063</v>
      </c>
      <c r="G1148" s="1" t="s">
        <v>2834</v>
      </c>
      <c r="H1148" s="1">
        <v>6.36</v>
      </c>
      <c r="I1148" s="1" t="s">
        <v>1061</v>
      </c>
      <c r="J1148" s="1">
        <v>6.36</v>
      </c>
      <c r="K1148" s="1" t="s">
        <v>187</v>
      </c>
      <c r="L1148" s="1" t="s">
        <v>187</v>
      </c>
      <c r="M1148" s="1" t="s">
        <v>78</v>
      </c>
      <c r="N1148" s="1" t="s">
        <v>79</v>
      </c>
      <c r="O1148" s="1" t="s">
        <v>80</v>
      </c>
      <c r="P1148" s="1" t="s">
        <v>81</v>
      </c>
      <c r="R1148" s="93">
        <v>43175</v>
      </c>
      <c r="S1148" s="93" t="s">
        <v>2734</v>
      </c>
    </row>
    <row r="1149" spans="1:19">
      <c r="A1149" s="92">
        <v>43176</v>
      </c>
      <c r="C1149" s="1" t="s">
        <v>66</v>
      </c>
      <c r="E1149" s="98" t="s">
        <v>1074</v>
      </c>
      <c r="F1149" s="1" t="s">
        <v>1075</v>
      </c>
      <c r="G1149" s="1" t="s">
        <v>2835</v>
      </c>
      <c r="H1149" s="1">
        <v>5</v>
      </c>
      <c r="I1149" s="1" t="s">
        <v>1061</v>
      </c>
      <c r="J1149" s="1">
        <v>5</v>
      </c>
      <c r="K1149" s="1" t="s">
        <v>480</v>
      </c>
      <c r="L1149" s="1" t="s">
        <v>187</v>
      </c>
      <c r="M1149" s="1" t="s">
        <v>78</v>
      </c>
      <c r="N1149" s="1" t="s">
        <v>79</v>
      </c>
      <c r="O1149" s="1" t="s">
        <v>80</v>
      </c>
      <c r="P1149" s="1" t="s">
        <v>81</v>
      </c>
      <c r="R1149" s="93">
        <v>43176</v>
      </c>
      <c r="S1149" s="93" t="s">
        <v>2734</v>
      </c>
    </row>
    <row r="1150" spans="1:19">
      <c r="A1150" s="92">
        <v>43177</v>
      </c>
      <c r="C1150" s="1" t="s">
        <v>66</v>
      </c>
      <c r="E1150" s="98" t="s">
        <v>1096</v>
      </c>
      <c r="F1150" s="1" t="s">
        <v>1097</v>
      </c>
      <c r="G1150" s="1" t="s">
        <v>2836</v>
      </c>
      <c r="H1150" s="1">
        <v>0.2</v>
      </c>
      <c r="I1150" s="1" t="s">
        <v>1061</v>
      </c>
      <c r="J1150" s="1">
        <v>0.2</v>
      </c>
      <c r="K1150" s="1" t="s">
        <v>596</v>
      </c>
      <c r="L1150" s="1" t="s">
        <v>77</v>
      </c>
      <c r="M1150" s="1" t="s">
        <v>78</v>
      </c>
      <c r="N1150" s="1" t="s">
        <v>79</v>
      </c>
      <c r="O1150" s="1" t="s">
        <v>80</v>
      </c>
      <c r="P1150" s="1" t="s">
        <v>81</v>
      </c>
      <c r="R1150" s="93">
        <v>43177</v>
      </c>
      <c r="S1150" s="93" t="s">
        <v>2734</v>
      </c>
    </row>
    <row r="1151" spans="1:19">
      <c r="A1151" s="92">
        <v>43178</v>
      </c>
      <c r="C1151" s="1" t="s">
        <v>56</v>
      </c>
      <c r="E1151" s="98" t="s">
        <v>159</v>
      </c>
      <c r="F1151" s="1" t="s">
        <v>160</v>
      </c>
      <c r="G1151" s="1" t="s">
        <v>2793</v>
      </c>
      <c r="H1151" s="1">
        <v>0.64</v>
      </c>
      <c r="I1151" s="1" t="s">
        <v>1106</v>
      </c>
      <c r="J1151" s="1">
        <v>0.38400000000000001</v>
      </c>
      <c r="K1151" s="1" t="s">
        <v>161</v>
      </c>
      <c r="L1151" s="1" t="s">
        <v>77</v>
      </c>
      <c r="M1151" s="1" t="s">
        <v>78</v>
      </c>
      <c r="N1151" s="1" t="s">
        <v>79</v>
      </c>
      <c r="O1151" s="1" t="s">
        <v>80</v>
      </c>
      <c r="P1151" s="1" t="s">
        <v>81</v>
      </c>
      <c r="R1151" s="93">
        <v>43178</v>
      </c>
      <c r="S1151" s="93" t="s">
        <v>2735</v>
      </c>
    </row>
    <row r="1152" spans="1:19">
      <c r="A1152" s="92">
        <v>43177</v>
      </c>
      <c r="C1152" s="1" t="s">
        <v>56</v>
      </c>
      <c r="E1152" s="98" t="s">
        <v>771</v>
      </c>
      <c r="F1152" s="1" t="s">
        <v>772</v>
      </c>
      <c r="G1152" s="1" t="s">
        <v>2782</v>
      </c>
      <c r="H1152" s="1">
        <v>10</v>
      </c>
      <c r="I1152" s="1" t="s">
        <v>1107</v>
      </c>
      <c r="J1152" s="1">
        <v>10</v>
      </c>
      <c r="K1152" s="1" t="s">
        <v>773</v>
      </c>
      <c r="L1152" s="1" t="s">
        <v>187</v>
      </c>
      <c r="M1152" s="1" t="s">
        <v>78</v>
      </c>
      <c r="N1152" s="1" t="s">
        <v>79</v>
      </c>
      <c r="O1152" s="1" t="s">
        <v>80</v>
      </c>
      <c r="P1152" s="1" t="s">
        <v>81</v>
      </c>
      <c r="R1152" s="93">
        <v>43177</v>
      </c>
      <c r="S1152" s="93" t="s">
        <v>2734</v>
      </c>
    </row>
    <row r="1153" spans="1:19">
      <c r="A1153" s="92">
        <v>43176</v>
      </c>
      <c r="C1153" s="1" t="s">
        <v>56</v>
      </c>
      <c r="E1153" s="98" t="s">
        <v>1109</v>
      </c>
      <c r="F1153" s="1" t="s">
        <v>1110</v>
      </c>
      <c r="G1153" s="1" t="s">
        <v>2837</v>
      </c>
      <c r="H1153" s="1">
        <v>5.31</v>
      </c>
      <c r="I1153" s="1" t="s">
        <v>1108</v>
      </c>
      <c r="J1153" s="1">
        <v>1.593</v>
      </c>
      <c r="K1153" s="1" t="s">
        <v>189</v>
      </c>
      <c r="L1153" s="1" t="s">
        <v>77</v>
      </c>
      <c r="M1153" s="1" t="s">
        <v>78</v>
      </c>
      <c r="N1153" s="1" t="s">
        <v>79</v>
      </c>
      <c r="O1153" s="1" t="s">
        <v>80</v>
      </c>
      <c r="P1153" s="1" t="s">
        <v>81</v>
      </c>
      <c r="R1153" s="93">
        <v>43176</v>
      </c>
      <c r="S1153" s="93" t="s">
        <v>2736</v>
      </c>
    </row>
    <row r="1154" spans="1:19">
      <c r="A1154" s="92">
        <v>43176</v>
      </c>
      <c r="C1154" s="1" t="s">
        <v>56</v>
      </c>
      <c r="E1154" s="98" t="s">
        <v>1113</v>
      </c>
      <c r="F1154" s="1" t="s">
        <v>1114</v>
      </c>
      <c r="G1154" s="1" t="s">
        <v>2838</v>
      </c>
      <c r="H1154" s="1">
        <v>2</v>
      </c>
      <c r="I1154" s="1" t="s">
        <v>1108</v>
      </c>
      <c r="J1154" s="1">
        <v>0.6</v>
      </c>
      <c r="K1154" s="1" t="s">
        <v>76</v>
      </c>
      <c r="L1154" s="1" t="s">
        <v>77</v>
      </c>
      <c r="M1154" s="1" t="s">
        <v>78</v>
      </c>
      <c r="N1154" s="1" t="s">
        <v>79</v>
      </c>
      <c r="O1154" s="1" t="s">
        <v>80</v>
      </c>
      <c r="P1154" s="1" t="s">
        <v>81</v>
      </c>
      <c r="R1154" s="93">
        <v>43176</v>
      </c>
      <c r="S1154" s="93" t="s">
        <v>2736</v>
      </c>
    </row>
    <row r="1155" spans="1:19">
      <c r="A1155" s="92">
        <v>43177</v>
      </c>
      <c r="C1155" s="1" t="s">
        <v>56</v>
      </c>
      <c r="E1155" s="98" t="s">
        <v>866</v>
      </c>
      <c r="F1155" s="1" t="s">
        <v>867</v>
      </c>
      <c r="G1155" s="1" t="s">
        <v>2822</v>
      </c>
      <c r="H1155" s="1">
        <v>2</v>
      </c>
      <c r="I1155" s="1" t="s">
        <v>1108</v>
      </c>
      <c r="J1155" s="1">
        <v>0.6</v>
      </c>
      <c r="K1155" s="1" t="s">
        <v>187</v>
      </c>
      <c r="L1155" s="1" t="s">
        <v>187</v>
      </c>
      <c r="M1155" s="1" t="s">
        <v>78</v>
      </c>
      <c r="N1155" s="1" t="s">
        <v>79</v>
      </c>
      <c r="O1155" s="1" t="s">
        <v>80</v>
      </c>
      <c r="P1155" s="1" t="s">
        <v>81</v>
      </c>
      <c r="R1155" s="93">
        <v>43177</v>
      </c>
      <c r="S1155" s="93" t="s">
        <v>2736</v>
      </c>
    </row>
    <row r="1156" spans="1:19">
      <c r="A1156" s="92">
        <v>43178</v>
      </c>
      <c r="C1156" s="1" t="s">
        <v>56</v>
      </c>
      <c r="E1156" s="98" t="s">
        <v>1129</v>
      </c>
      <c r="F1156" s="1" t="s">
        <v>1130</v>
      </c>
      <c r="G1156" s="1" t="s">
        <v>2839</v>
      </c>
      <c r="H1156" s="1">
        <v>10</v>
      </c>
      <c r="I1156" s="1" t="s">
        <v>1108</v>
      </c>
      <c r="J1156" s="1">
        <v>3</v>
      </c>
      <c r="K1156" s="1" t="s">
        <v>186</v>
      </c>
      <c r="L1156" s="1" t="s">
        <v>187</v>
      </c>
      <c r="M1156" s="1" t="s">
        <v>78</v>
      </c>
      <c r="N1156" s="1" t="s">
        <v>79</v>
      </c>
      <c r="O1156" s="1" t="s">
        <v>80</v>
      </c>
      <c r="P1156" s="1" t="s">
        <v>81</v>
      </c>
      <c r="R1156" s="93">
        <v>43178</v>
      </c>
      <c r="S1156" s="93" t="s">
        <v>2736</v>
      </c>
    </row>
    <row r="1157" spans="1:19">
      <c r="A1157" s="92">
        <v>43178</v>
      </c>
      <c r="C1157" s="1" t="s">
        <v>56</v>
      </c>
      <c r="E1157" s="98" t="s">
        <v>1136</v>
      </c>
      <c r="F1157" s="1" t="s">
        <v>1137</v>
      </c>
      <c r="G1157" s="1" t="s">
        <v>2840</v>
      </c>
      <c r="H1157" s="1">
        <v>3.87</v>
      </c>
      <c r="I1157" s="1" t="s">
        <v>1131</v>
      </c>
      <c r="J1157" s="1">
        <v>1.161</v>
      </c>
      <c r="K1157" s="1" t="s">
        <v>480</v>
      </c>
      <c r="L1157" s="1" t="s">
        <v>187</v>
      </c>
      <c r="M1157" s="1" t="s">
        <v>78</v>
      </c>
      <c r="N1157" s="1" t="s">
        <v>79</v>
      </c>
      <c r="O1157" s="1" t="s">
        <v>80</v>
      </c>
      <c r="P1157" s="1" t="s">
        <v>81</v>
      </c>
      <c r="R1157" s="93">
        <v>43178</v>
      </c>
      <c r="S1157" s="93" t="s">
        <v>2737</v>
      </c>
    </row>
    <row r="1158" spans="1:19">
      <c r="A1158" s="92">
        <v>43178</v>
      </c>
      <c r="C1158" s="1" t="s">
        <v>56</v>
      </c>
      <c r="E1158" s="98" t="s">
        <v>1164</v>
      </c>
      <c r="F1158" s="1" t="s">
        <v>1165</v>
      </c>
      <c r="G1158" s="1" t="s">
        <v>2841</v>
      </c>
      <c r="H1158" s="1">
        <v>16.4528</v>
      </c>
      <c r="I1158" s="1" t="s">
        <v>1159</v>
      </c>
      <c r="J1158" s="1">
        <v>16.4528</v>
      </c>
      <c r="K1158" s="1" t="s">
        <v>187</v>
      </c>
      <c r="L1158" s="1" t="s">
        <v>187</v>
      </c>
      <c r="M1158" s="1" t="s">
        <v>78</v>
      </c>
      <c r="N1158" s="1" t="s">
        <v>79</v>
      </c>
      <c r="O1158" s="1" t="s">
        <v>80</v>
      </c>
      <c r="P1158" s="1" t="s">
        <v>81</v>
      </c>
      <c r="R1158" s="93">
        <v>43178</v>
      </c>
      <c r="S1158" s="93" t="s">
        <v>2740</v>
      </c>
    </row>
    <row r="1159" spans="1:19">
      <c r="A1159" s="92">
        <v>43178</v>
      </c>
      <c r="C1159" s="1" t="s">
        <v>56</v>
      </c>
      <c r="E1159" s="98" t="s">
        <v>594</v>
      </c>
      <c r="F1159" s="1" t="s">
        <v>595</v>
      </c>
      <c r="G1159" s="1" t="s">
        <v>2813</v>
      </c>
      <c r="H1159" s="1">
        <v>6.3280000000000003</v>
      </c>
      <c r="I1159" s="1" t="s">
        <v>1159</v>
      </c>
      <c r="J1159" s="1">
        <v>6.3280000000000003</v>
      </c>
      <c r="K1159" s="1" t="s">
        <v>596</v>
      </c>
      <c r="L1159" s="1" t="s">
        <v>77</v>
      </c>
      <c r="M1159" s="1" t="s">
        <v>78</v>
      </c>
      <c r="N1159" s="1" t="s">
        <v>79</v>
      </c>
      <c r="O1159" s="1" t="s">
        <v>80</v>
      </c>
      <c r="P1159" s="1" t="s">
        <v>81</v>
      </c>
      <c r="R1159" s="93">
        <v>43178</v>
      </c>
      <c r="S1159" s="93" t="s">
        <v>2740</v>
      </c>
    </row>
    <row r="1160" spans="1:19">
      <c r="A1160" s="92">
        <v>43178</v>
      </c>
      <c r="C1160" s="1" t="s">
        <v>56</v>
      </c>
      <c r="E1160" s="98" t="s">
        <v>1166</v>
      </c>
      <c r="F1160" s="1" t="s">
        <v>1167</v>
      </c>
      <c r="G1160" s="1" t="s">
        <v>2842</v>
      </c>
      <c r="H1160" s="1">
        <v>5.0023279999999994</v>
      </c>
      <c r="I1160" s="1" t="s">
        <v>1159</v>
      </c>
      <c r="J1160" s="1">
        <v>5.0023279999999994</v>
      </c>
      <c r="K1160" s="1" t="s">
        <v>178</v>
      </c>
      <c r="L1160" s="1" t="s">
        <v>77</v>
      </c>
      <c r="M1160" s="1" t="s">
        <v>78</v>
      </c>
      <c r="N1160" s="1" t="s">
        <v>79</v>
      </c>
      <c r="O1160" s="1" t="s">
        <v>80</v>
      </c>
      <c r="P1160" s="1" t="s">
        <v>81</v>
      </c>
      <c r="R1160" s="93">
        <v>43178</v>
      </c>
      <c r="S1160" s="93" t="s">
        <v>2740</v>
      </c>
    </row>
    <row r="1161" spans="1:19">
      <c r="A1161" s="92">
        <v>43178</v>
      </c>
      <c r="C1161" s="1" t="s">
        <v>66</v>
      </c>
      <c r="E1161" s="98" t="s">
        <v>1178</v>
      </c>
      <c r="F1161" s="1" t="s">
        <v>1179</v>
      </c>
      <c r="G1161" s="1" t="s">
        <v>2843</v>
      </c>
      <c r="H1161" s="1">
        <v>2</v>
      </c>
      <c r="I1161" s="1" t="s">
        <v>1159</v>
      </c>
      <c r="J1161" s="1">
        <v>2</v>
      </c>
      <c r="K1161" s="1" t="s">
        <v>596</v>
      </c>
      <c r="L1161" s="1" t="s">
        <v>77</v>
      </c>
      <c r="M1161" s="1" t="s">
        <v>78</v>
      </c>
      <c r="N1161" s="1" t="s">
        <v>79</v>
      </c>
      <c r="O1161" s="1" t="s">
        <v>80</v>
      </c>
      <c r="P1161" s="1" t="s">
        <v>81</v>
      </c>
      <c r="R1161" s="93">
        <v>43178</v>
      </c>
      <c r="S1161" s="93" t="s">
        <v>2740</v>
      </c>
    </row>
    <row r="1162" spans="1:19">
      <c r="A1162" s="92">
        <v>43178</v>
      </c>
      <c r="C1162" s="1" t="s">
        <v>66</v>
      </c>
      <c r="E1162" s="98" t="s">
        <v>1178</v>
      </c>
      <c r="F1162" s="1" t="s">
        <v>1179</v>
      </c>
      <c r="G1162" s="1" t="s">
        <v>2843</v>
      </c>
      <c r="H1162" s="1">
        <v>2</v>
      </c>
      <c r="I1162" s="1" t="s">
        <v>1159</v>
      </c>
      <c r="J1162" s="1">
        <v>2</v>
      </c>
      <c r="K1162" s="1" t="s">
        <v>596</v>
      </c>
      <c r="L1162" s="1" t="s">
        <v>77</v>
      </c>
      <c r="M1162" s="1" t="s">
        <v>78</v>
      </c>
      <c r="N1162" s="1" t="s">
        <v>79</v>
      </c>
      <c r="O1162" s="1" t="s">
        <v>80</v>
      </c>
      <c r="P1162" s="1" t="s">
        <v>81</v>
      </c>
      <c r="R1162" s="93">
        <v>43178</v>
      </c>
      <c r="S1162" s="93" t="s">
        <v>2740</v>
      </c>
    </row>
    <row r="1163" spans="1:19">
      <c r="A1163" s="92">
        <v>43178</v>
      </c>
      <c r="C1163" s="1" t="s">
        <v>66</v>
      </c>
      <c r="E1163" s="98" t="s">
        <v>1178</v>
      </c>
      <c r="F1163" s="1" t="s">
        <v>1179</v>
      </c>
      <c r="G1163" s="1" t="s">
        <v>2843</v>
      </c>
      <c r="H1163" s="1">
        <v>1</v>
      </c>
      <c r="I1163" s="1" t="s">
        <v>1159</v>
      </c>
      <c r="J1163" s="1">
        <v>1</v>
      </c>
      <c r="K1163" s="1" t="s">
        <v>596</v>
      </c>
      <c r="L1163" s="1" t="s">
        <v>77</v>
      </c>
      <c r="M1163" s="1" t="s">
        <v>78</v>
      </c>
      <c r="N1163" s="1" t="s">
        <v>79</v>
      </c>
      <c r="O1163" s="1" t="s">
        <v>80</v>
      </c>
      <c r="P1163" s="1" t="s">
        <v>81</v>
      </c>
      <c r="R1163" s="93">
        <v>43178</v>
      </c>
      <c r="S1163" s="93" t="s">
        <v>2740</v>
      </c>
    </row>
    <row r="1164" spans="1:19">
      <c r="A1164" s="92">
        <v>43178</v>
      </c>
      <c r="C1164" s="1" t="s">
        <v>56</v>
      </c>
      <c r="E1164" s="98" t="s">
        <v>1184</v>
      </c>
      <c r="F1164" s="1" t="s">
        <v>187</v>
      </c>
      <c r="G1164" s="1" t="s">
        <v>2844</v>
      </c>
      <c r="H1164" s="1">
        <v>0.2</v>
      </c>
      <c r="I1164" s="1" t="s">
        <v>1159</v>
      </c>
      <c r="J1164" s="1">
        <v>0.2</v>
      </c>
      <c r="K1164" s="1" t="s">
        <v>187</v>
      </c>
      <c r="L1164" s="1" t="s">
        <v>187</v>
      </c>
      <c r="M1164" s="1" t="s">
        <v>78</v>
      </c>
      <c r="N1164" s="1" t="s">
        <v>79</v>
      </c>
      <c r="O1164" s="1" t="s">
        <v>80</v>
      </c>
      <c r="P1164" s="1" t="s">
        <v>81</v>
      </c>
      <c r="R1164" s="93">
        <v>43178</v>
      </c>
      <c r="S1164" s="93" t="s">
        <v>2740</v>
      </c>
    </row>
    <row r="1165" spans="1:19">
      <c r="A1165" s="92">
        <v>43179</v>
      </c>
      <c r="C1165" s="1" t="s">
        <v>56</v>
      </c>
      <c r="E1165" s="98" t="s">
        <v>1185</v>
      </c>
      <c r="F1165" s="1" t="s">
        <v>1186</v>
      </c>
      <c r="G1165" s="1" t="s">
        <v>2845</v>
      </c>
      <c r="H1165" s="1">
        <v>4.4260820000000001</v>
      </c>
      <c r="I1165" s="1" t="s">
        <v>1159</v>
      </c>
      <c r="J1165" s="1">
        <v>4.4260820000000001</v>
      </c>
      <c r="K1165" s="1" t="s">
        <v>1187</v>
      </c>
      <c r="L1165" s="1" t="s">
        <v>187</v>
      </c>
      <c r="M1165" s="1" t="s">
        <v>78</v>
      </c>
      <c r="N1165" s="1" t="s">
        <v>79</v>
      </c>
      <c r="O1165" s="1" t="s">
        <v>80</v>
      </c>
      <c r="P1165" s="1" t="s">
        <v>81</v>
      </c>
      <c r="R1165" s="93">
        <v>43179</v>
      </c>
      <c r="S1165" s="93" t="s">
        <v>2740</v>
      </c>
    </row>
    <row r="1166" spans="1:19">
      <c r="A1166" s="92">
        <v>43179</v>
      </c>
      <c r="C1166" s="1" t="s">
        <v>56</v>
      </c>
      <c r="E1166" s="98" t="s">
        <v>1216</v>
      </c>
      <c r="F1166" s="1" t="s">
        <v>1217</v>
      </c>
      <c r="G1166" s="1" t="s">
        <v>2780</v>
      </c>
      <c r="H1166" s="1">
        <v>10</v>
      </c>
      <c r="I1166" s="1" t="s">
        <v>1213</v>
      </c>
      <c r="J1166" s="1">
        <v>6</v>
      </c>
      <c r="K1166" s="1" t="s">
        <v>161</v>
      </c>
      <c r="L1166" s="1" t="s">
        <v>77</v>
      </c>
      <c r="M1166" s="1" t="s">
        <v>78</v>
      </c>
      <c r="N1166" s="1" t="s">
        <v>79</v>
      </c>
      <c r="O1166" s="1" t="s">
        <v>80</v>
      </c>
      <c r="P1166" s="1" t="s">
        <v>81</v>
      </c>
      <c r="R1166" s="93">
        <v>43179</v>
      </c>
      <c r="S1166" s="93" t="s">
        <v>2742</v>
      </c>
    </row>
    <row r="1167" spans="1:19">
      <c r="A1167" s="92">
        <v>43179</v>
      </c>
      <c r="C1167" s="1" t="s">
        <v>56</v>
      </c>
      <c r="E1167" s="98" t="s">
        <v>354</v>
      </c>
      <c r="F1167" s="1" t="s">
        <v>355</v>
      </c>
      <c r="G1167" s="1" t="s">
        <v>2778</v>
      </c>
      <c r="H1167" s="1">
        <v>0.32</v>
      </c>
      <c r="I1167" s="1" t="s">
        <v>1213</v>
      </c>
      <c r="J1167" s="1">
        <v>0.192</v>
      </c>
      <c r="K1167" s="1" t="s">
        <v>356</v>
      </c>
      <c r="L1167" s="1" t="s">
        <v>187</v>
      </c>
      <c r="M1167" s="1" t="s">
        <v>78</v>
      </c>
      <c r="N1167" s="1" t="s">
        <v>79</v>
      </c>
      <c r="O1167" s="1" t="s">
        <v>80</v>
      </c>
      <c r="P1167" s="1" t="s">
        <v>81</v>
      </c>
      <c r="R1167" s="93">
        <v>43179</v>
      </c>
      <c r="S1167" s="93" t="s">
        <v>2742</v>
      </c>
    </row>
    <row r="1168" spans="1:19">
      <c r="A1168" s="92">
        <v>43180</v>
      </c>
      <c r="C1168" s="1" t="s">
        <v>56</v>
      </c>
      <c r="E1168" s="98" t="s">
        <v>159</v>
      </c>
      <c r="F1168" s="1" t="s">
        <v>160</v>
      </c>
      <c r="G1168" s="1" t="s">
        <v>2793</v>
      </c>
      <c r="H1168" s="1">
        <v>0.46</v>
      </c>
      <c r="I1168" s="1" t="s">
        <v>1213</v>
      </c>
      <c r="J1168" s="1">
        <v>0.27600000000000002</v>
      </c>
      <c r="K1168" s="1" t="s">
        <v>161</v>
      </c>
      <c r="L1168" s="1" t="s">
        <v>77</v>
      </c>
      <c r="M1168" s="1" t="s">
        <v>78</v>
      </c>
      <c r="N1168" s="1" t="s">
        <v>79</v>
      </c>
      <c r="O1168" s="1" t="s">
        <v>80</v>
      </c>
      <c r="P1168" s="1" t="s">
        <v>81</v>
      </c>
      <c r="R1168" s="93">
        <v>43180</v>
      </c>
      <c r="S1168" s="93" t="s">
        <v>2742</v>
      </c>
    </row>
    <row r="1169" spans="1:19">
      <c r="A1169" s="92">
        <v>43179</v>
      </c>
      <c r="C1169" s="1" t="s">
        <v>56</v>
      </c>
      <c r="E1169" s="98" t="s">
        <v>1224</v>
      </c>
      <c r="F1169" s="1" t="s">
        <v>1225</v>
      </c>
      <c r="G1169" s="1" t="s">
        <v>2846</v>
      </c>
      <c r="H1169" s="1">
        <v>10</v>
      </c>
      <c r="I1169" s="1" t="s">
        <v>1223</v>
      </c>
      <c r="J1169" s="1">
        <v>3</v>
      </c>
      <c r="K1169" s="1" t="s">
        <v>187</v>
      </c>
      <c r="L1169" s="1" t="s">
        <v>187</v>
      </c>
      <c r="M1169" s="1" t="s">
        <v>78</v>
      </c>
      <c r="N1169" s="1" t="s">
        <v>79</v>
      </c>
      <c r="O1169" s="1" t="s">
        <v>80</v>
      </c>
      <c r="P1169" s="1" t="s">
        <v>81</v>
      </c>
      <c r="R1169" s="93">
        <v>43179</v>
      </c>
      <c r="S1169" s="93" t="s">
        <v>2743</v>
      </c>
    </row>
    <row r="1170" spans="1:19">
      <c r="A1170" s="92">
        <v>43179</v>
      </c>
      <c r="C1170" s="1" t="s">
        <v>66</v>
      </c>
      <c r="E1170" s="98" t="s">
        <v>1178</v>
      </c>
      <c r="F1170" s="1" t="s">
        <v>1179</v>
      </c>
      <c r="G1170" s="1" t="s">
        <v>2843</v>
      </c>
      <c r="H1170" s="1">
        <v>0.5</v>
      </c>
      <c r="I1170" s="1" t="s">
        <v>1223</v>
      </c>
      <c r="J1170" s="1">
        <v>0.15</v>
      </c>
      <c r="K1170" s="1" t="s">
        <v>596</v>
      </c>
      <c r="L1170" s="1" t="s">
        <v>77</v>
      </c>
      <c r="M1170" s="1" t="s">
        <v>78</v>
      </c>
      <c r="N1170" s="1" t="s">
        <v>79</v>
      </c>
      <c r="O1170" s="1" t="s">
        <v>80</v>
      </c>
      <c r="P1170" s="1" t="s">
        <v>81</v>
      </c>
      <c r="R1170" s="93">
        <v>43179</v>
      </c>
      <c r="S1170" s="93" t="s">
        <v>2743</v>
      </c>
    </row>
    <row r="1171" spans="1:19">
      <c r="A1171" s="92">
        <v>43179</v>
      </c>
      <c r="C1171" s="1" t="s">
        <v>66</v>
      </c>
      <c r="E1171" s="98" t="s">
        <v>1228</v>
      </c>
      <c r="F1171" s="1" t="s">
        <v>1229</v>
      </c>
      <c r="G1171" s="1" t="s">
        <v>2847</v>
      </c>
      <c r="H1171" s="1">
        <v>0.64</v>
      </c>
      <c r="I1171" s="1" t="s">
        <v>1223</v>
      </c>
      <c r="J1171" s="1">
        <v>0.192</v>
      </c>
      <c r="K1171" s="1" t="s">
        <v>1230</v>
      </c>
      <c r="L1171" s="1" t="s">
        <v>187</v>
      </c>
      <c r="M1171" s="1" t="s">
        <v>78</v>
      </c>
      <c r="N1171" s="1" t="s">
        <v>79</v>
      </c>
      <c r="O1171" s="1" t="s">
        <v>80</v>
      </c>
      <c r="P1171" s="1" t="s">
        <v>81</v>
      </c>
      <c r="R1171" s="93">
        <v>43179</v>
      </c>
      <c r="S1171" s="93" t="s">
        <v>2743</v>
      </c>
    </row>
    <row r="1172" spans="1:19">
      <c r="A1172" s="92">
        <v>43180</v>
      </c>
      <c r="C1172" s="1" t="s">
        <v>56</v>
      </c>
      <c r="E1172" s="98" t="s">
        <v>1240</v>
      </c>
      <c r="F1172" s="1" t="s">
        <v>1241</v>
      </c>
      <c r="G1172" s="1" t="s">
        <v>2848</v>
      </c>
      <c r="H1172" s="1">
        <v>10.56</v>
      </c>
      <c r="I1172" s="1" t="s">
        <v>1242</v>
      </c>
      <c r="J1172" s="1">
        <v>3.1680000000000001</v>
      </c>
      <c r="K1172" s="1" t="s">
        <v>773</v>
      </c>
      <c r="L1172" s="1" t="s">
        <v>187</v>
      </c>
      <c r="M1172" s="1" t="s">
        <v>78</v>
      </c>
      <c r="N1172" s="1" t="s">
        <v>79</v>
      </c>
      <c r="O1172" s="1" t="s">
        <v>80</v>
      </c>
      <c r="P1172" s="1" t="s">
        <v>81</v>
      </c>
      <c r="R1172" s="93">
        <v>43180</v>
      </c>
      <c r="S1172" s="93" t="s">
        <v>2744</v>
      </c>
    </row>
    <row r="1173" spans="1:19">
      <c r="A1173" s="92">
        <v>43180</v>
      </c>
      <c r="C1173" s="1" t="s">
        <v>66</v>
      </c>
      <c r="E1173" s="98" t="s">
        <v>1178</v>
      </c>
      <c r="F1173" s="1" t="s">
        <v>1179</v>
      </c>
      <c r="G1173" s="1" t="s">
        <v>2843</v>
      </c>
      <c r="H1173" s="1">
        <v>0.5</v>
      </c>
      <c r="I1173" s="1" t="s">
        <v>1242</v>
      </c>
      <c r="J1173" s="1">
        <v>0.15</v>
      </c>
      <c r="K1173" s="1" t="s">
        <v>596</v>
      </c>
      <c r="L1173" s="1" t="s">
        <v>77</v>
      </c>
      <c r="M1173" s="1" t="s">
        <v>78</v>
      </c>
      <c r="N1173" s="1" t="s">
        <v>79</v>
      </c>
      <c r="O1173" s="1" t="s">
        <v>80</v>
      </c>
      <c r="P1173" s="1" t="s">
        <v>81</v>
      </c>
      <c r="R1173" s="93">
        <v>43180</v>
      </c>
      <c r="S1173" s="93" t="s">
        <v>2744</v>
      </c>
    </row>
    <row r="1174" spans="1:19">
      <c r="A1174" s="92">
        <v>43180</v>
      </c>
      <c r="C1174" s="1" t="s">
        <v>56</v>
      </c>
      <c r="E1174" s="98" t="s">
        <v>1245</v>
      </c>
      <c r="F1174" s="1" t="s">
        <v>1246</v>
      </c>
      <c r="G1174" s="1" t="s">
        <v>2849</v>
      </c>
      <c r="H1174" s="1">
        <v>2.0499999999999998</v>
      </c>
      <c r="I1174" s="1" t="s">
        <v>1242</v>
      </c>
      <c r="J1174" s="1">
        <v>0.61499999999999999</v>
      </c>
      <c r="K1174" s="1" t="s">
        <v>773</v>
      </c>
      <c r="L1174" s="1" t="s">
        <v>187</v>
      </c>
      <c r="M1174" s="1" t="s">
        <v>78</v>
      </c>
      <c r="N1174" s="1" t="s">
        <v>79</v>
      </c>
      <c r="O1174" s="1" t="s">
        <v>80</v>
      </c>
      <c r="P1174" s="1" t="s">
        <v>81</v>
      </c>
      <c r="R1174" s="93">
        <v>43180</v>
      </c>
      <c r="S1174" s="93" t="s">
        <v>2744</v>
      </c>
    </row>
    <row r="1175" spans="1:19">
      <c r="A1175" s="92">
        <v>43180</v>
      </c>
      <c r="C1175" s="1" t="s">
        <v>66</v>
      </c>
      <c r="E1175" s="98" t="s">
        <v>1247</v>
      </c>
      <c r="F1175" s="1" t="s">
        <v>1248</v>
      </c>
      <c r="G1175" s="1" t="s">
        <v>2850</v>
      </c>
      <c r="H1175" s="1">
        <v>0.1</v>
      </c>
      <c r="I1175" s="1" t="s">
        <v>1242</v>
      </c>
      <c r="J1175" s="1">
        <v>0.03</v>
      </c>
      <c r="K1175" s="1" t="s">
        <v>161</v>
      </c>
      <c r="L1175" s="1" t="s">
        <v>77</v>
      </c>
      <c r="M1175" s="1" t="s">
        <v>78</v>
      </c>
      <c r="N1175" s="1" t="s">
        <v>79</v>
      </c>
      <c r="O1175" s="1" t="s">
        <v>80</v>
      </c>
      <c r="P1175" s="1" t="s">
        <v>81</v>
      </c>
      <c r="R1175" s="93">
        <v>43180</v>
      </c>
      <c r="S1175" s="93" t="s">
        <v>2744</v>
      </c>
    </row>
    <row r="1176" spans="1:19">
      <c r="A1176" s="92">
        <v>43180</v>
      </c>
      <c r="C1176" s="1" t="s">
        <v>56</v>
      </c>
      <c r="E1176" s="98" t="s">
        <v>1216</v>
      </c>
      <c r="F1176" s="1" t="s">
        <v>1217</v>
      </c>
      <c r="G1176" s="1" t="s">
        <v>2780</v>
      </c>
      <c r="H1176" s="1">
        <v>5</v>
      </c>
      <c r="I1176" s="1" t="s">
        <v>1263</v>
      </c>
      <c r="J1176" s="1">
        <v>5</v>
      </c>
      <c r="K1176" s="1" t="s">
        <v>161</v>
      </c>
      <c r="L1176" s="1" t="s">
        <v>77</v>
      </c>
      <c r="M1176" s="1" t="s">
        <v>78</v>
      </c>
      <c r="N1176" s="1" t="s">
        <v>79</v>
      </c>
      <c r="O1176" s="1" t="s">
        <v>80</v>
      </c>
      <c r="P1176" s="1" t="s">
        <v>81</v>
      </c>
      <c r="R1176" s="93">
        <v>43180</v>
      </c>
      <c r="S1176" s="93" t="s">
        <v>2747</v>
      </c>
    </row>
    <row r="1177" spans="1:19">
      <c r="A1177" s="92">
        <v>43180</v>
      </c>
      <c r="C1177" s="1" t="s">
        <v>56</v>
      </c>
      <c r="E1177" s="98" t="s">
        <v>974</v>
      </c>
      <c r="F1177" s="1" t="s">
        <v>161</v>
      </c>
      <c r="G1177" s="1" t="s">
        <v>2825</v>
      </c>
      <c r="H1177" s="1">
        <v>1.6</v>
      </c>
      <c r="I1177" s="1" t="s">
        <v>1263</v>
      </c>
      <c r="J1177" s="1">
        <v>1.6</v>
      </c>
      <c r="K1177" s="1" t="s">
        <v>161</v>
      </c>
      <c r="L1177" s="1" t="s">
        <v>77</v>
      </c>
      <c r="M1177" s="1" t="s">
        <v>78</v>
      </c>
      <c r="N1177" s="1" t="s">
        <v>79</v>
      </c>
      <c r="O1177" s="1" t="s">
        <v>80</v>
      </c>
      <c r="P1177" s="1" t="s">
        <v>81</v>
      </c>
      <c r="R1177" s="93">
        <v>43180</v>
      </c>
      <c r="S1177" s="93" t="s">
        <v>2747</v>
      </c>
    </row>
    <row r="1178" spans="1:19">
      <c r="A1178" s="92">
        <v>43180</v>
      </c>
      <c r="C1178" s="1" t="s">
        <v>56</v>
      </c>
      <c r="E1178" s="98" t="s">
        <v>974</v>
      </c>
      <c r="F1178" s="1" t="s">
        <v>161</v>
      </c>
      <c r="G1178" s="1" t="s">
        <v>2825</v>
      </c>
      <c r="H1178" s="1">
        <v>1</v>
      </c>
      <c r="I1178" s="1" t="s">
        <v>1263</v>
      </c>
      <c r="J1178" s="1">
        <v>1</v>
      </c>
      <c r="K1178" s="1" t="s">
        <v>161</v>
      </c>
      <c r="L1178" s="1" t="s">
        <v>77</v>
      </c>
      <c r="M1178" s="1" t="s">
        <v>78</v>
      </c>
      <c r="N1178" s="1" t="s">
        <v>79</v>
      </c>
      <c r="O1178" s="1" t="s">
        <v>80</v>
      </c>
      <c r="P1178" s="1" t="s">
        <v>81</v>
      </c>
      <c r="R1178" s="93">
        <v>43180</v>
      </c>
      <c r="S1178" s="93" t="s">
        <v>2747</v>
      </c>
    </row>
    <row r="1179" spans="1:19">
      <c r="A1179" s="92">
        <v>43181</v>
      </c>
      <c r="C1179" s="1" t="s">
        <v>56</v>
      </c>
      <c r="E1179" s="98" t="s">
        <v>1277</v>
      </c>
      <c r="F1179" s="1" t="s">
        <v>178</v>
      </c>
      <c r="G1179" s="1" t="s">
        <v>2789</v>
      </c>
      <c r="H1179" s="1">
        <v>5</v>
      </c>
      <c r="I1179" s="1" t="s">
        <v>1274</v>
      </c>
      <c r="J1179" s="1">
        <v>5</v>
      </c>
      <c r="K1179" s="1" t="s">
        <v>178</v>
      </c>
      <c r="L1179" s="1" t="s">
        <v>77</v>
      </c>
      <c r="M1179" s="1" t="s">
        <v>78</v>
      </c>
      <c r="N1179" s="1" t="s">
        <v>79</v>
      </c>
      <c r="O1179" s="1" t="s">
        <v>80</v>
      </c>
      <c r="P1179" s="1" t="s">
        <v>81</v>
      </c>
      <c r="R1179" s="93">
        <v>43181</v>
      </c>
      <c r="S1179" s="93" t="s">
        <v>2748</v>
      </c>
    </row>
    <row r="1180" spans="1:19">
      <c r="A1180" s="92">
        <v>43181</v>
      </c>
      <c r="C1180" s="1" t="s">
        <v>56</v>
      </c>
      <c r="E1180" s="98" t="s">
        <v>1277</v>
      </c>
      <c r="F1180" s="1" t="s">
        <v>178</v>
      </c>
      <c r="G1180" s="1" t="s">
        <v>2789</v>
      </c>
      <c r="H1180" s="1">
        <v>1</v>
      </c>
      <c r="I1180" s="1" t="s">
        <v>1274</v>
      </c>
      <c r="J1180" s="1">
        <v>1</v>
      </c>
      <c r="K1180" s="1" t="s">
        <v>178</v>
      </c>
      <c r="L1180" s="1" t="s">
        <v>77</v>
      </c>
      <c r="M1180" s="1" t="s">
        <v>78</v>
      </c>
      <c r="N1180" s="1" t="s">
        <v>79</v>
      </c>
      <c r="O1180" s="1" t="s">
        <v>80</v>
      </c>
      <c r="P1180" s="1" t="s">
        <v>81</v>
      </c>
      <c r="R1180" s="93">
        <v>43181</v>
      </c>
      <c r="S1180" s="93" t="s">
        <v>2748</v>
      </c>
    </row>
    <row r="1181" spans="1:19">
      <c r="A1181" s="92">
        <v>43182</v>
      </c>
      <c r="C1181" s="1" t="s">
        <v>56</v>
      </c>
      <c r="E1181" s="98" t="s">
        <v>1284</v>
      </c>
      <c r="F1181" s="1" t="s">
        <v>596</v>
      </c>
      <c r="G1181" s="1" t="s">
        <v>2790</v>
      </c>
      <c r="H1181" s="1">
        <v>1.1065E-2</v>
      </c>
      <c r="I1181" s="1" t="s">
        <v>1274</v>
      </c>
      <c r="J1181" s="1">
        <v>1.1065E-2</v>
      </c>
      <c r="K1181" s="1" t="s">
        <v>596</v>
      </c>
      <c r="L1181" s="1" t="s">
        <v>77</v>
      </c>
      <c r="M1181" s="1" t="s">
        <v>78</v>
      </c>
      <c r="N1181" s="1" t="s">
        <v>79</v>
      </c>
      <c r="O1181" s="1" t="s">
        <v>80</v>
      </c>
      <c r="P1181" s="1" t="s">
        <v>81</v>
      </c>
      <c r="R1181" s="93">
        <v>43182</v>
      </c>
      <c r="S1181" s="93" t="s">
        <v>2748</v>
      </c>
    </row>
    <row r="1182" spans="1:19">
      <c r="A1182" s="92">
        <v>43181</v>
      </c>
      <c r="C1182" s="1" t="s">
        <v>56</v>
      </c>
      <c r="E1182" s="98" t="s">
        <v>1291</v>
      </c>
      <c r="F1182" s="1" t="s">
        <v>1292</v>
      </c>
      <c r="G1182" s="1" t="s">
        <v>2783</v>
      </c>
      <c r="H1182" s="1">
        <v>5</v>
      </c>
      <c r="I1182" s="1" t="s">
        <v>1293</v>
      </c>
      <c r="J1182" s="1">
        <v>7.5</v>
      </c>
      <c r="K1182" s="1" t="s">
        <v>773</v>
      </c>
      <c r="L1182" s="1" t="s">
        <v>187</v>
      </c>
      <c r="M1182" s="1" t="s">
        <v>78</v>
      </c>
      <c r="N1182" s="1" t="s">
        <v>79</v>
      </c>
      <c r="O1182" s="1" t="s">
        <v>80</v>
      </c>
      <c r="P1182" s="1" t="s">
        <v>81</v>
      </c>
      <c r="R1182" s="93">
        <v>43181</v>
      </c>
      <c r="S1182" s="93" t="s">
        <v>2869</v>
      </c>
    </row>
    <row r="1183" spans="1:19">
      <c r="A1183" s="92">
        <v>43182</v>
      </c>
      <c r="C1183" s="1" t="s">
        <v>56</v>
      </c>
      <c r="E1183" s="98" t="s">
        <v>1136</v>
      </c>
      <c r="F1183" s="1" t="s">
        <v>1137</v>
      </c>
      <c r="G1183" s="1" t="s">
        <v>2840</v>
      </c>
      <c r="H1183" s="1">
        <v>2.42</v>
      </c>
      <c r="I1183" s="1" t="s">
        <v>1305</v>
      </c>
      <c r="J1183" s="1">
        <v>0.72599999999999998</v>
      </c>
      <c r="K1183" s="1" t="s">
        <v>480</v>
      </c>
      <c r="L1183" s="1" t="s">
        <v>187</v>
      </c>
      <c r="M1183" s="1" t="s">
        <v>78</v>
      </c>
      <c r="N1183" s="1" t="s">
        <v>79</v>
      </c>
      <c r="O1183" s="1" t="s">
        <v>80</v>
      </c>
      <c r="P1183" s="1" t="s">
        <v>81</v>
      </c>
      <c r="R1183" s="93">
        <v>43182</v>
      </c>
      <c r="S1183" s="93" t="s">
        <v>2750</v>
      </c>
    </row>
    <row r="1184" spans="1:19">
      <c r="A1184" s="92">
        <v>43182</v>
      </c>
      <c r="C1184" s="1" t="s">
        <v>56</v>
      </c>
      <c r="E1184" s="98" t="s">
        <v>1312</v>
      </c>
      <c r="F1184" s="1" t="s">
        <v>1313</v>
      </c>
      <c r="G1184" s="1" t="s">
        <v>2785</v>
      </c>
      <c r="H1184" s="1">
        <v>0.51</v>
      </c>
      <c r="I1184" s="1" t="s">
        <v>1305</v>
      </c>
      <c r="J1184" s="1">
        <v>0.153</v>
      </c>
      <c r="K1184" s="1" t="s">
        <v>480</v>
      </c>
      <c r="L1184" s="1" t="s">
        <v>187</v>
      </c>
      <c r="M1184" s="1" t="s">
        <v>78</v>
      </c>
      <c r="N1184" s="1" t="s">
        <v>79</v>
      </c>
      <c r="O1184" s="1" t="s">
        <v>80</v>
      </c>
      <c r="P1184" s="1" t="s">
        <v>81</v>
      </c>
      <c r="R1184" s="93">
        <v>43182</v>
      </c>
      <c r="S1184" s="93" t="s">
        <v>2750</v>
      </c>
    </row>
    <row r="1185" spans="1:19">
      <c r="A1185" s="92">
        <v>43182</v>
      </c>
      <c r="C1185" s="1" t="s">
        <v>56</v>
      </c>
      <c r="E1185" s="98" t="s">
        <v>594</v>
      </c>
      <c r="F1185" s="1" t="s">
        <v>595</v>
      </c>
      <c r="G1185" s="1" t="s">
        <v>2813</v>
      </c>
      <c r="H1185" s="1">
        <v>5</v>
      </c>
      <c r="I1185" s="1" t="s">
        <v>1320</v>
      </c>
      <c r="J1185" s="1">
        <v>5</v>
      </c>
      <c r="K1185" s="1" t="s">
        <v>596</v>
      </c>
      <c r="L1185" s="1" t="s">
        <v>77</v>
      </c>
      <c r="M1185" s="1" t="s">
        <v>78</v>
      </c>
      <c r="N1185" s="1" t="s">
        <v>79</v>
      </c>
      <c r="O1185" s="1" t="s">
        <v>80</v>
      </c>
      <c r="P1185" s="1" t="s">
        <v>81</v>
      </c>
      <c r="R1185" s="93">
        <v>43182</v>
      </c>
      <c r="S1185" s="93" t="s">
        <v>2748</v>
      </c>
    </row>
    <row r="1186" spans="1:19">
      <c r="A1186" s="92">
        <v>43182</v>
      </c>
      <c r="C1186" s="1" t="s">
        <v>56</v>
      </c>
      <c r="E1186" s="98" t="s">
        <v>594</v>
      </c>
      <c r="F1186" s="1" t="s">
        <v>595</v>
      </c>
      <c r="G1186" s="1" t="s">
        <v>2813</v>
      </c>
      <c r="H1186" s="1">
        <v>3.88</v>
      </c>
      <c r="I1186" s="1" t="s">
        <v>1320</v>
      </c>
      <c r="J1186" s="1">
        <v>3.88</v>
      </c>
      <c r="K1186" s="1" t="s">
        <v>596</v>
      </c>
      <c r="L1186" s="1" t="s">
        <v>77</v>
      </c>
      <c r="M1186" s="1" t="s">
        <v>78</v>
      </c>
      <c r="N1186" s="1" t="s">
        <v>79</v>
      </c>
      <c r="O1186" s="1" t="s">
        <v>80</v>
      </c>
      <c r="P1186" s="1" t="s">
        <v>81</v>
      </c>
      <c r="R1186" s="93">
        <v>43182</v>
      </c>
      <c r="S1186" s="93" t="s">
        <v>2748</v>
      </c>
    </row>
    <row r="1187" spans="1:19">
      <c r="A1187" s="92">
        <v>43182</v>
      </c>
      <c r="C1187" s="1" t="s">
        <v>56</v>
      </c>
      <c r="E1187" s="98" t="s">
        <v>1284</v>
      </c>
      <c r="F1187" s="1" t="s">
        <v>596</v>
      </c>
      <c r="G1187" s="1" t="s">
        <v>2790</v>
      </c>
      <c r="H1187" s="1">
        <v>0.03</v>
      </c>
      <c r="I1187" s="1" t="s">
        <v>1320</v>
      </c>
      <c r="J1187" s="1">
        <v>0.03</v>
      </c>
      <c r="K1187" s="1" t="s">
        <v>596</v>
      </c>
      <c r="L1187" s="1" t="s">
        <v>77</v>
      </c>
      <c r="M1187" s="1" t="s">
        <v>78</v>
      </c>
      <c r="N1187" s="1" t="s">
        <v>79</v>
      </c>
      <c r="O1187" s="1" t="s">
        <v>80</v>
      </c>
      <c r="P1187" s="1" t="s">
        <v>81</v>
      </c>
      <c r="R1187" s="93">
        <v>43182</v>
      </c>
      <c r="S1187" s="93" t="s">
        <v>2748</v>
      </c>
    </row>
    <row r="1188" spans="1:19">
      <c r="A1188" s="92">
        <v>43182</v>
      </c>
      <c r="C1188" s="1" t="s">
        <v>56</v>
      </c>
      <c r="E1188" s="98" t="s">
        <v>594</v>
      </c>
      <c r="F1188" s="1" t="s">
        <v>595</v>
      </c>
      <c r="G1188" s="1" t="s">
        <v>2813</v>
      </c>
      <c r="H1188" s="1">
        <v>5</v>
      </c>
      <c r="I1188" s="1" t="s">
        <v>1336</v>
      </c>
      <c r="J1188" s="1">
        <v>5</v>
      </c>
      <c r="K1188" s="1" t="s">
        <v>596</v>
      </c>
      <c r="L1188" s="1" t="s">
        <v>77</v>
      </c>
      <c r="M1188" s="1" t="s">
        <v>78</v>
      </c>
      <c r="N1188" s="1" t="s">
        <v>79</v>
      </c>
      <c r="O1188" s="1" t="s">
        <v>80</v>
      </c>
      <c r="P1188" s="1" t="s">
        <v>81</v>
      </c>
      <c r="R1188" s="93">
        <v>43182</v>
      </c>
      <c r="S1188" s="93" t="s">
        <v>2751</v>
      </c>
    </row>
    <row r="1189" spans="1:19">
      <c r="A1189" s="92">
        <v>43184</v>
      </c>
      <c r="C1189" s="1" t="s">
        <v>56</v>
      </c>
      <c r="E1189" s="98" t="s">
        <v>708</v>
      </c>
      <c r="F1189" s="1" t="s">
        <v>709</v>
      </c>
      <c r="G1189" s="1" t="s">
        <v>2816</v>
      </c>
      <c r="H1189" s="1">
        <v>1.4</v>
      </c>
      <c r="I1189" s="1" t="s">
        <v>1336</v>
      </c>
      <c r="J1189" s="1">
        <v>1.4</v>
      </c>
      <c r="K1189" s="1" t="s">
        <v>480</v>
      </c>
      <c r="L1189" s="1" t="s">
        <v>187</v>
      </c>
      <c r="M1189" s="1" t="s">
        <v>78</v>
      </c>
      <c r="N1189" s="1" t="s">
        <v>79</v>
      </c>
      <c r="O1189" s="1" t="s">
        <v>80</v>
      </c>
      <c r="P1189" s="1" t="s">
        <v>81</v>
      </c>
      <c r="R1189" s="93">
        <v>43184</v>
      </c>
      <c r="S1189" s="93" t="s">
        <v>2751</v>
      </c>
    </row>
    <row r="1190" spans="1:19">
      <c r="A1190" s="92">
        <v>43184</v>
      </c>
      <c r="C1190" s="1" t="s">
        <v>56</v>
      </c>
      <c r="E1190" s="98" t="s">
        <v>974</v>
      </c>
      <c r="F1190" s="1" t="s">
        <v>161</v>
      </c>
      <c r="G1190" s="1" t="s">
        <v>2825</v>
      </c>
      <c r="H1190" s="1">
        <v>5</v>
      </c>
      <c r="I1190" s="1" t="s">
        <v>1336</v>
      </c>
      <c r="J1190" s="1">
        <v>5</v>
      </c>
      <c r="K1190" s="1" t="s">
        <v>161</v>
      </c>
      <c r="L1190" s="1" t="s">
        <v>77</v>
      </c>
      <c r="M1190" s="1" t="s">
        <v>78</v>
      </c>
      <c r="N1190" s="1" t="s">
        <v>79</v>
      </c>
      <c r="O1190" s="1" t="s">
        <v>80</v>
      </c>
      <c r="P1190" s="1" t="s">
        <v>81</v>
      </c>
      <c r="R1190" s="93">
        <v>43184</v>
      </c>
      <c r="S1190" s="93" t="s">
        <v>2751</v>
      </c>
    </row>
    <row r="1191" spans="1:19">
      <c r="A1191" s="92">
        <v>43185</v>
      </c>
      <c r="C1191" s="1" t="s">
        <v>56</v>
      </c>
      <c r="E1191" s="98" t="s">
        <v>1360</v>
      </c>
      <c r="F1191" s="1" t="s">
        <v>1187</v>
      </c>
      <c r="G1191" s="1" t="s">
        <v>2851</v>
      </c>
      <c r="H1191" s="1">
        <v>2.6556490000000004</v>
      </c>
      <c r="I1191" s="1" t="s">
        <v>1336</v>
      </c>
      <c r="J1191" s="1">
        <v>2.6556490000000004</v>
      </c>
      <c r="K1191" s="1" t="s">
        <v>1187</v>
      </c>
      <c r="L1191" s="1" t="s">
        <v>187</v>
      </c>
      <c r="M1191" s="1" t="s">
        <v>78</v>
      </c>
      <c r="N1191" s="1" t="s">
        <v>79</v>
      </c>
      <c r="O1191" s="1" t="s">
        <v>80</v>
      </c>
      <c r="P1191" s="1" t="s">
        <v>81</v>
      </c>
      <c r="R1191" s="93">
        <v>43185</v>
      </c>
      <c r="S1191" s="93" t="s">
        <v>2751</v>
      </c>
    </row>
    <row r="1192" spans="1:19">
      <c r="A1192" s="92">
        <v>43183</v>
      </c>
      <c r="C1192" s="1" t="s">
        <v>56</v>
      </c>
      <c r="E1192" s="98" t="s">
        <v>196</v>
      </c>
      <c r="F1192" s="1" t="s">
        <v>197</v>
      </c>
      <c r="G1192" s="1" t="s">
        <v>2797</v>
      </c>
      <c r="H1192" s="1">
        <v>5</v>
      </c>
      <c r="I1192" s="1" t="s">
        <v>1363</v>
      </c>
      <c r="J1192" s="1">
        <v>3</v>
      </c>
      <c r="K1192" s="1" t="s">
        <v>198</v>
      </c>
      <c r="L1192" s="1" t="s">
        <v>187</v>
      </c>
      <c r="M1192" s="1" t="s">
        <v>78</v>
      </c>
      <c r="N1192" s="1" t="s">
        <v>79</v>
      </c>
      <c r="O1192" s="1" t="s">
        <v>80</v>
      </c>
      <c r="P1192" s="1" t="s">
        <v>81</v>
      </c>
      <c r="R1192" s="93">
        <v>43183</v>
      </c>
      <c r="S1192" s="93" t="s">
        <v>2752</v>
      </c>
    </row>
    <row r="1193" spans="1:19">
      <c r="A1193" s="92">
        <v>43185</v>
      </c>
      <c r="C1193" s="1" t="s">
        <v>56</v>
      </c>
      <c r="E1193" s="98" t="s">
        <v>354</v>
      </c>
      <c r="F1193" s="1" t="s">
        <v>355</v>
      </c>
      <c r="G1193" s="1" t="s">
        <v>2778</v>
      </c>
      <c r="H1193" s="1">
        <v>4.9800000000000004</v>
      </c>
      <c r="I1193" s="1" t="s">
        <v>1363</v>
      </c>
      <c r="J1193" s="1">
        <v>2.988</v>
      </c>
      <c r="K1193" s="1" t="s">
        <v>356</v>
      </c>
      <c r="L1193" s="1" t="s">
        <v>187</v>
      </c>
      <c r="M1193" s="1" t="s">
        <v>78</v>
      </c>
      <c r="N1193" s="1" t="s">
        <v>79</v>
      </c>
      <c r="O1193" s="1" t="s">
        <v>80</v>
      </c>
      <c r="P1193" s="1" t="s">
        <v>81</v>
      </c>
      <c r="R1193" s="93">
        <v>43185</v>
      </c>
      <c r="S1193" s="93" t="s">
        <v>2752</v>
      </c>
    </row>
    <row r="1194" spans="1:19">
      <c r="A1194" s="92">
        <v>43183</v>
      </c>
      <c r="C1194" s="1" t="s">
        <v>56</v>
      </c>
      <c r="E1194" s="98" t="s">
        <v>1291</v>
      </c>
      <c r="F1194" s="1" t="s">
        <v>1292</v>
      </c>
      <c r="G1194" s="1" t="s">
        <v>2783</v>
      </c>
      <c r="H1194" s="1">
        <v>5</v>
      </c>
      <c r="I1194" s="1" t="s">
        <v>1367</v>
      </c>
      <c r="J1194" s="1">
        <v>7.5</v>
      </c>
      <c r="K1194" s="1" t="s">
        <v>773</v>
      </c>
      <c r="L1194" s="1" t="s">
        <v>187</v>
      </c>
      <c r="M1194" s="1" t="s">
        <v>78</v>
      </c>
      <c r="N1194" s="1" t="s">
        <v>79</v>
      </c>
      <c r="O1194" s="1" t="s">
        <v>80</v>
      </c>
      <c r="P1194" s="1" t="s">
        <v>81</v>
      </c>
      <c r="R1194" s="93">
        <v>43183</v>
      </c>
      <c r="S1194" s="93" t="s">
        <v>2870</v>
      </c>
    </row>
    <row r="1195" spans="1:19">
      <c r="A1195" s="92">
        <v>43184</v>
      </c>
      <c r="C1195" s="1" t="s">
        <v>56</v>
      </c>
      <c r="E1195" s="98" t="s">
        <v>1291</v>
      </c>
      <c r="F1195" s="1" t="s">
        <v>1292</v>
      </c>
      <c r="G1195" s="1" t="s">
        <v>2783</v>
      </c>
      <c r="H1195" s="1">
        <v>5</v>
      </c>
      <c r="I1195" s="1" t="s">
        <v>1367</v>
      </c>
      <c r="J1195" s="1">
        <v>7.5</v>
      </c>
      <c r="K1195" s="1" t="s">
        <v>773</v>
      </c>
      <c r="L1195" s="1" t="s">
        <v>187</v>
      </c>
      <c r="M1195" s="1" t="s">
        <v>78</v>
      </c>
      <c r="N1195" s="1" t="s">
        <v>79</v>
      </c>
      <c r="O1195" s="1" t="s">
        <v>80</v>
      </c>
      <c r="P1195" s="1" t="s">
        <v>81</v>
      </c>
      <c r="R1195" s="93">
        <v>43184</v>
      </c>
      <c r="S1195" s="93" t="s">
        <v>2870</v>
      </c>
    </row>
    <row r="1196" spans="1:19">
      <c r="A1196" s="92">
        <v>43183</v>
      </c>
      <c r="C1196" s="1" t="s">
        <v>66</v>
      </c>
      <c r="E1196" s="98" t="s">
        <v>1096</v>
      </c>
      <c r="F1196" s="1" t="s">
        <v>1097</v>
      </c>
      <c r="G1196" s="1" t="s">
        <v>2836</v>
      </c>
      <c r="H1196" s="1">
        <v>0.6</v>
      </c>
      <c r="I1196" s="1" t="s">
        <v>1370</v>
      </c>
      <c r="J1196" s="1">
        <v>0.18</v>
      </c>
      <c r="K1196" s="1" t="s">
        <v>596</v>
      </c>
      <c r="L1196" s="1" t="s">
        <v>77</v>
      </c>
      <c r="M1196" s="1" t="s">
        <v>78</v>
      </c>
      <c r="N1196" s="1" t="s">
        <v>79</v>
      </c>
      <c r="O1196" s="1" t="s">
        <v>80</v>
      </c>
      <c r="P1196" s="1" t="s">
        <v>81</v>
      </c>
      <c r="R1196" s="93">
        <v>43183</v>
      </c>
      <c r="S1196" s="93" t="s">
        <v>2753</v>
      </c>
    </row>
    <row r="1197" spans="1:19">
      <c r="A1197" s="92">
        <v>43183</v>
      </c>
      <c r="C1197" s="1" t="s">
        <v>56</v>
      </c>
      <c r="E1197" s="98" t="s">
        <v>1374</v>
      </c>
      <c r="F1197" s="1" t="s">
        <v>1375</v>
      </c>
      <c r="G1197" s="1" t="s">
        <v>2852</v>
      </c>
      <c r="H1197" s="1">
        <v>1.1000000000000001</v>
      </c>
      <c r="I1197" s="1" t="s">
        <v>1370</v>
      </c>
      <c r="J1197" s="1">
        <v>0.33</v>
      </c>
      <c r="K1197" s="1" t="s">
        <v>385</v>
      </c>
      <c r="L1197" s="1" t="s">
        <v>187</v>
      </c>
      <c r="M1197" s="1" t="s">
        <v>78</v>
      </c>
      <c r="N1197" s="1" t="s">
        <v>79</v>
      </c>
      <c r="O1197" s="1" t="s">
        <v>80</v>
      </c>
      <c r="P1197" s="1" t="s">
        <v>81</v>
      </c>
      <c r="R1197" s="93">
        <v>43183</v>
      </c>
      <c r="S1197" s="93" t="s">
        <v>2753</v>
      </c>
    </row>
    <row r="1198" spans="1:19">
      <c r="A1198" s="92">
        <v>43185</v>
      </c>
      <c r="C1198" s="1" t="s">
        <v>56</v>
      </c>
      <c r="E1198" s="98" t="s">
        <v>188</v>
      </c>
      <c r="F1198" s="1" t="s">
        <v>189</v>
      </c>
      <c r="G1198" s="1" t="s">
        <v>2796</v>
      </c>
      <c r="H1198" s="1">
        <v>10.66</v>
      </c>
      <c r="I1198" s="1" t="s">
        <v>1385</v>
      </c>
      <c r="J1198" s="1">
        <v>3.198</v>
      </c>
      <c r="K1198" s="1" t="s">
        <v>189</v>
      </c>
      <c r="L1198" s="1" t="s">
        <v>77</v>
      </c>
      <c r="M1198" s="1" t="s">
        <v>78</v>
      </c>
      <c r="N1198" s="1" t="s">
        <v>79</v>
      </c>
      <c r="O1198" s="1" t="s">
        <v>80</v>
      </c>
      <c r="P1198" s="1" t="s">
        <v>81</v>
      </c>
      <c r="R1198" s="93">
        <v>43185</v>
      </c>
      <c r="S1198" s="93" t="s">
        <v>2754</v>
      </c>
    </row>
    <row r="1199" spans="1:19">
      <c r="A1199" s="92">
        <v>43185</v>
      </c>
      <c r="C1199" s="1" t="s">
        <v>56</v>
      </c>
      <c r="E1199" s="98" t="s">
        <v>202</v>
      </c>
      <c r="F1199" s="1" t="s">
        <v>203</v>
      </c>
      <c r="G1199" s="1" t="s">
        <v>2798</v>
      </c>
      <c r="H1199" s="1">
        <v>0.55000000000000004</v>
      </c>
      <c r="I1199" s="1" t="s">
        <v>1385</v>
      </c>
      <c r="J1199" s="1">
        <v>0.16500000000000001</v>
      </c>
      <c r="K1199" s="1" t="s">
        <v>198</v>
      </c>
      <c r="L1199" s="1" t="s">
        <v>187</v>
      </c>
      <c r="M1199" s="1" t="s">
        <v>78</v>
      </c>
      <c r="N1199" s="1" t="s">
        <v>79</v>
      </c>
      <c r="O1199" s="1" t="s">
        <v>80</v>
      </c>
      <c r="P1199" s="1" t="s">
        <v>81</v>
      </c>
      <c r="R1199" s="93">
        <v>43185</v>
      </c>
      <c r="S1199" s="93" t="s">
        <v>2754</v>
      </c>
    </row>
    <row r="1200" spans="1:19">
      <c r="A1200" s="92">
        <v>43186</v>
      </c>
      <c r="C1200" s="1" t="s">
        <v>56</v>
      </c>
      <c r="E1200" s="98" t="s">
        <v>159</v>
      </c>
      <c r="F1200" s="1" t="s">
        <v>160</v>
      </c>
      <c r="G1200" s="1" t="s">
        <v>2793</v>
      </c>
      <c r="H1200" s="1">
        <v>3.74</v>
      </c>
      <c r="I1200" s="1" t="s">
        <v>1395</v>
      </c>
      <c r="J1200" s="1">
        <v>2.2440000000000002</v>
      </c>
      <c r="K1200" s="1" t="s">
        <v>161</v>
      </c>
      <c r="L1200" s="1" t="s">
        <v>77</v>
      </c>
      <c r="M1200" s="1" t="s">
        <v>78</v>
      </c>
      <c r="N1200" s="1" t="s">
        <v>79</v>
      </c>
      <c r="O1200" s="1" t="s">
        <v>80</v>
      </c>
      <c r="P1200" s="1" t="s">
        <v>81</v>
      </c>
      <c r="R1200" s="93">
        <v>43186</v>
      </c>
      <c r="S1200" s="93" t="s">
        <v>2756</v>
      </c>
    </row>
    <row r="1201" spans="1:19">
      <c r="A1201" s="92">
        <v>43185</v>
      </c>
      <c r="C1201" s="1" t="s">
        <v>56</v>
      </c>
      <c r="E1201" s="98" t="s">
        <v>1360</v>
      </c>
      <c r="F1201" s="1" t="s">
        <v>1187</v>
      </c>
      <c r="G1201" s="1" t="s">
        <v>2851</v>
      </c>
      <c r="H1201" s="1">
        <v>5</v>
      </c>
      <c r="I1201" s="1" t="s">
        <v>1400</v>
      </c>
      <c r="J1201" s="1">
        <v>5</v>
      </c>
      <c r="K1201" s="1" t="s">
        <v>1187</v>
      </c>
      <c r="L1201" s="1" t="s">
        <v>187</v>
      </c>
      <c r="M1201" s="1" t="s">
        <v>78</v>
      </c>
      <c r="N1201" s="1" t="s">
        <v>79</v>
      </c>
      <c r="O1201" s="1" t="s">
        <v>80</v>
      </c>
      <c r="P1201" s="1" t="s">
        <v>81</v>
      </c>
      <c r="R1201" s="93">
        <v>43185</v>
      </c>
      <c r="S1201" s="93" t="s">
        <v>2755</v>
      </c>
    </row>
    <row r="1202" spans="1:19">
      <c r="A1202" s="92">
        <v>43185</v>
      </c>
      <c r="C1202" s="1" t="s">
        <v>66</v>
      </c>
      <c r="E1202" s="98" t="s">
        <v>1409</v>
      </c>
      <c r="F1202" s="1" t="s">
        <v>1410</v>
      </c>
      <c r="G1202" s="1" t="s">
        <v>2853</v>
      </c>
      <c r="H1202" s="1">
        <v>5</v>
      </c>
      <c r="I1202" s="1" t="s">
        <v>1400</v>
      </c>
      <c r="J1202" s="1">
        <v>5</v>
      </c>
      <c r="K1202" s="1" t="s">
        <v>161</v>
      </c>
      <c r="L1202" s="1" t="s">
        <v>77</v>
      </c>
      <c r="M1202" s="1" t="s">
        <v>78</v>
      </c>
      <c r="N1202" s="1" t="s">
        <v>79</v>
      </c>
      <c r="O1202" s="1" t="s">
        <v>80</v>
      </c>
      <c r="P1202" s="1" t="s">
        <v>81</v>
      </c>
      <c r="R1202" s="93">
        <v>43185</v>
      </c>
      <c r="S1202" s="93" t="s">
        <v>2755</v>
      </c>
    </row>
    <row r="1203" spans="1:19">
      <c r="A1203" s="92">
        <v>43185</v>
      </c>
      <c r="C1203" s="1" t="s">
        <v>56</v>
      </c>
      <c r="E1203" s="98" t="s">
        <v>913</v>
      </c>
      <c r="F1203" s="1" t="s">
        <v>914</v>
      </c>
      <c r="G1203" s="1" t="s">
        <v>2779</v>
      </c>
      <c r="H1203" s="1">
        <v>12.769</v>
      </c>
      <c r="I1203" s="1" t="s">
        <v>1400</v>
      </c>
      <c r="J1203" s="1">
        <v>12.769</v>
      </c>
      <c r="K1203" s="1" t="s">
        <v>189</v>
      </c>
      <c r="L1203" s="1" t="s">
        <v>77</v>
      </c>
      <c r="M1203" s="1" t="s">
        <v>78</v>
      </c>
      <c r="N1203" s="1" t="s">
        <v>79</v>
      </c>
      <c r="O1203" s="1" t="s">
        <v>80</v>
      </c>
      <c r="P1203" s="1" t="s">
        <v>81</v>
      </c>
      <c r="R1203" s="93">
        <v>43185</v>
      </c>
      <c r="S1203" s="93" t="s">
        <v>2755</v>
      </c>
    </row>
    <row r="1204" spans="1:19">
      <c r="A1204" s="92">
        <v>43185</v>
      </c>
      <c r="C1204" s="1" t="s">
        <v>56</v>
      </c>
      <c r="E1204" s="98" t="s">
        <v>1413</v>
      </c>
      <c r="F1204" s="1" t="s">
        <v>1414</v>
      </c>
      <c r="G1204" s="1" t="s">
        <v>2854</v>
      </c>
      <c r="H1204" s="1">
        <v>12.656000000000001</v>
      </c>
      <c r="I1204" s="1" t="s">
        <v>1400</v>
      </c>
      <c r="J1204" s="1">
        <v>12.656000000000001</v>
      </c>
      <c r="K1204" s="1" t="s">
        <v>596</v>
      </c>
      <c r="L1204" s="1" t="s">
        <v>77</v>
      </c>
      <c r="M1204" s="1" t="s">
        <v>78</v>
      </c>
      <c r="N1204" s="1" t="s">
        <v>79</v>
      </c>
      <c r="O1204" s="1" t="s">
        <v>80</v>
      </c>
      <c r="P1204" s="1" t="s">
        <v>81</v>
      </c>
      <c r="R1204" s="93">
        <v>43185</v>
      </c>
      <c r="S1204" s="93" t="s">
        <v>2755</v>
      </c>
    </row>
    <row r="1205" spans="1:19">
      <c r="A1205" s="92">
        <v>43185</v>
      </c>
      <c r="C1205" s="1" t="s">
        <v>56</v>
      </c>
      <c r="E1205" s="98" t="s">
        <v>1185</v>
      </c>
      <c r="F1205" s="1" t="s">
        <v>1186</v>
      </c>
      <c r="G1205" s="1" t="s">
        <v>2845</v>
      </c>
      <c r="H1205" s="1">
        <v>6.3280000000000003</v>
      </c>
      <c r="I1205" s="1" t="s">
        <v>1400</v>
      </c>
      <c r="J1205" s="1">
        <v>6.3280000000000003</v>
      </c>
      <c r="K1205" s="1" t="s">
        <v>1187</v>
      </c>
      <c r="L1205" s="1" t="s">
        <v>187</v>
      </c>
      <c r="M1205" s="1" t="s">
        <v>78</v>
      </c>
      <c r="N1205" s="1" t="s">
        <v>79</v>
      </c>
      <c r="O1205" s="1" t="s">
        <v>80</v>
      </c>
      <c r="P1205" s="1" t="s">
        <v>81</v>
      </c>
      <c r="R1205" s="93">
        <v>43185</v>
      </c>
      <c r="S1205" s="93" t="s">
        <v>2755</v>
      </c>
    </row>
    <row r="1206" spans="1:19">
      <c r="A1206" s="92">
        <v>43185</v>
      </c>
      <c r="C1206" s="1" t="s">
        <v>66</v>
      </c>
      <c r="E1206" s="98" t="s">
        <v>1423</v>
      </c>
      <c r="F1206" s="1" t="s">
        <v>1424</v>
      </c>
      <c r="G1206" s="1" t="s">
        <v>2855</v>
      </c>
      <c r="H1206" s="1">
        <v>6</v>
      </c>
      <c r="I1206" s="1" t="s">
        <v>1400</v>
      </c>
      <c r="J1206" s="1">
        <v>6</v>
      </c>
      <c r="K1206" s="1" t="s">
        <v>161</v>
      </c>
      <c r="L1206" s="1" t="s">
        <v>77</v>
      </c>
      <c r="M1206" s="1" t="s">
        <v>78</v>
      </c>
      <c r="N1206" s="1" t="s">
        <v>79</v>
      </c>
      <c r="O1206" s="1" t="s">
        <v>80</v>
      </c>
      <c r="P1206" s="1" t="s">
        <v>81</v>
      </c>
      <c r="R1206" s="93">
        <v>43185</v>
      </c>
      <c r="S1206" s="93" t="s">
        <v>2755</v>
      </c>
    </row>
    <row r="1207" spans="1:19">
      <c r="A1207" s="92">
        <v>43185</v>
      </c>
      <c r="C1207" s="1" t="s">
        <v>56</v>
      </c>
      <c r="E1207" s="98" t="s">
        <v>1360</v>
      </c>
      <c r="F1207" s="1" t="s">
        <v>1187</v>
      </c>
      <c r="G1207" s="1" t="s">
        <v>2851</v>
      </c>
      <c r="H1207" s="1">
        <v>3.6</v>
      </c>
      <c r="I1207" s="1" t="s">
        <v>1400</v>
      </c>
      <c r="J1207" s="1">
        <v>3.6</v>
      </c>
      <c r="K1207" s="1" t="s">
        <v>1187</v>
      </c>
      <c r="L1207" s="1" t="s">
        <v>187</v>
      </c>
      <c r="M1207" s="1" t="s">
        <v>78</v>
      </c>
      <c r="N1207" s="1" t="s">
        <v>79</v>
      </c>
      <c r="O1207" s="1" t="s">
        <v>80</v>
      </c>
      <c r="P1207" s="1" t="s">
        <v>81</v>
      </c>
      <c r="R1207" s="93">
        <v>43185</v>
      </c>
      <c r="S1207" s="93" t="s">
        <v>2755</v>
      </c>
    </row>
    <row r="1208" spans="1:19">
      <c r="A1208" s="92">
        <v>43185</v>
      </c>
      <c r="C1208" s="1" t="s">
        <v>56</v>
      </c>
      <c r="E1208" s="98" t="s">
        <v>1277</v>
      </c>
      <c r="F1208" s="1" t="s">
        <v>178</v>
      </c>
      <c r="G1208" s="1" t="s">
        <v>2789</v>
      </c>
      <c r="H1208" s="1">
        <v>5</v>
      </c>
      <c r="I1208" s="1" t="s">
        <v>1400</v>
      </c>
      <c r="J1208" s="1">
        <v>5</v>
      </c>
      <c r="K1208" s="1" t="s">
        <v>178</v>
      </c>
      <c r="L1208" s="1" t="s">
        <v>77</v>
      </c>
      <c r="M1208" s="1" t="s">
        <v>78</v>
      </c>
      <c r="N1208" s="1" t="s">
        <v>79</v>
      </c>
      <c r="O1208" s="1" t="s">
        <v>80</v>
      </c>
      <c r="P1208" s="1" t="s">
        <v>81</v>
      </c>
      <c r="R1208" s="93">
        <v>43185</v>
      </c>
      <c r="S1208" s="93" t="s">
        <v>2755</v>
      </c>
    </row>
    <row r="1209" spans="1:19">
      <c r="A1209" s="92">
        <v>43186</v>
      </c>
      <c r="C1209" s="1" t="s">
        <v>56</v>
      </c>
      <c r="E1209" s="98" t="s">
        <v>1427</v>
      </c>
      <c r="F1209" s="1" t="s">
        <v>1230</v>
      </c>
      <c r="G1209" s="1" t="s">
        <v>2856</v>
      </c>
      <c r="H1209" s="1">
        <v>3.4302139999999999</v>
      </c>
      <c r="I1209" s="1" t="s">
        <v>1400</v>
      </c>
      <c r="J1209" s="1">
        <v>3.4302139999999999</v>
      </c>
      <c r="K1209" s="1" t="s">
        <v>1230</v>
      </c>
      <c r="L1209" s="1" t="s">
        <v>187</v>
      </c>
      <c r="M1209" s="1" t="s">
        <v>78</v>
      </c>
      <c r="N1209" s="1" t="s">
        <v>79</v>
      </c>
      <c r="O1209" s="1" t="s">
        <v>80</v>
      </c>
      <c r="P1209" s="1" t="s">
        <v>81</v>
      </c>
      <c r="R1209" s="93">
        <v>43186</v>
      </c>
      <c r="S1209" s="93" t="s">
        <v>2755</v>
      </c>
    </row>
    <row r="1210" spans="1:19">
      <c r="A1210" s="92">
        <v>43186</v>
      </c>
      <c r="C1210" s="1" t="s">
        <v>56</v>
      </c>
      <c r="E1210" s="98" t="s">
        <v>708</v>
      </c>
      <c r="F1210" s="1" t="s">
        <v>709</v>
      </c>
      <c r="G1210" s="1" t="s">
        <v>2816</v>
      </c>
      <c r="H1210" s="1">
        <v>0.75</v>
      </c>
      <c r="I1210" s="1" t="s">
        <v>1400</v>
      </c>
      <c r="J1210" s="1">
        <v>0.75</v>
      </c>
      <c r="K1210" s="1" t="s">
        <v>480</v>
      </c>
      <c r="L1210" s="1" t="s">
        <v>187</v>
      </c>
      <c r="M1210" s="1" t="s">
        <v>78</v>
      </c>
      <c r="N1210" s="1" t="s">
        <v>79</v>
      </c>
      <c r="O1210" s="1" t="s">
        <v>80</v>
      </c>
      <c r="P1210" s="1" t="s">
        <v>81</v>
      </c>
      <c r="R1210" s="93">
        <v>43186</v>
      </c>
      <c r="S1210" s="93" t="s">
        <v>2755</v>
      </c>
    </row>
    <row r="1211" spans="1:19">
      <c r="A1211" s="92">
        <v>43187</v>
      </c>
      <c r="C1211" s="1" t="s">
        <v>56</v>
      </c>
      <c r="E1211" s="98" t="s">
        <v>499</v>
      </c>
      <c r="F1211" s="1" t="s">
        <v>500</v>
      </c>
      <c r="G1211" s="1" t="s">
        <v>2808</v>
      </c>
      <c r="H1211" s="1">
        <v>19.917370000000002</v>
      </c>
      <c r="I1211" s="1" t="s">
        <v>1428</v>
      </c>
      <c r="J1211" s="1">
        <v>19.917370000000002</v>
      </c>
      <c r="K1211" s="1" t="s">
        <v>474</v>
      </c>
      <c r="L1211" s="1" t="s">
        <v>187</v>
      </c>
      <c r="M1211" s="1" t="s">
        <v>78</v>
      </c>
      <c r="N1211" s="1" t="s">
        <v>79</v>
      </c>
      <c r="O1211" s="1" t="s">
        <v>80</v>
      </c>
      <c r="P1211" s="1" t="s">
        <v>81</v>
      </c>
      <c r="R1211" s="93">
        <v>43187</v>
      </c>
      <c r="S1211" s="93" t="s">
        <v>2757</v>
      </c>
    </row>
    <row r="1212" spans="1:19">
      <c r="A1212" s="92">
        <v>43186</v>
      </c>
      <c r="C1212" s="1" t="s">
        <v>56</v>
      </c>
      <c r="E1212" s="98" t="s">
        <v>1455</v>
      </c>
      <c r="F1212" s="1" t="s">
        <v>1456</v>
      </c>
      <c r="G1212" s="1" t="s">
        <v>2857</v>
      </c>
      <c r="H1212" s="1">
        <v>2.02</v>
      </c>
      <c r="I1212" s="1" t="s">
        <v>1457</v>
      </c>
      <c r="J1212" s="1">
        <v>0.60599999999999998</v>
      </c>
      <c r="K1212" s="1" t="s">
        <v>178</v>
      </c>
      <c r="L1212" s="1" t="s">
        <v>77</v>
      </c>
      <c r="M1212" s="1" t="s">
        <v>78</v>
      </c>
      <c r="N1212" s="1" t="s">
        <v>79</v>
      </c>
      <c r="O1212" s="1" t="s">
        <v>80</v>
      </c>
      <c r="P1212" s="1" t="s">
        <v>81</v>
      </c>
      <c r="R1212" s="93">
        <v>43186</v>
      </c>
      <c r="S1212" s="93" t="s">
        <v>2760</v>
      </c>
    </row>
    <row r="1213" spans="1:19">
      <c r="A1213" s="92">
        <v>43186</v>
      </c>
      <c r="C1213" s="1" t="s">
        <v>66</v>
      </c>
      <c r="E1213" s="98" t="s">
        <v>1030</v>
      </c>
      <c r="F1213" s="1" t="s">
        <v>1031</v>
      </c>
      <c r="G1213" s="1" t="s">
        <v>2830</v>
      </c>
      <c r="H1213" s="1">
        <v>10</v>
      </c>
      <c r="I1213" s="1" t="s">
        <v>1457</v>
      </c>
      <c r="J1213" s="1">
        <v>3</v>
      </c>
      <c r="K1213" s="1" t="s">
        <v>187</v>
      </c>
      <c r="L1213" s="1" t="s">
        <v>187</v>
      </c>
      <c r="M1213" s="1" t="s">
        <v>78</v>
      </c>
      <c r="N1213" s="1" t="s">
        <v>79</v>
      </c>
      <c r="O1213" s="1" t="s">
        <v>80</v>
      </c>
      <c r="P1213" s="1" t="s">
        <v>81</v>
      </c>
      <c r="R1213" s="93">
        <v>43186</v>
      </c>
      <c r="S1213" s="93" t="s">
        <v>2760</v>
      </c>
    </row>
    <row r="1214" spans="1:19">
      <c r="A1214" s="92">
        <v>43187</v>
      </c>
      <c r="C1214" s="1" t="s">
        <v>56</v>
      </c>
      <c r="E1214" s="98" t="s">
        <v>537</v>
      </c>
      <c r="F1214" s="1" t="s">
        <v>538</v>
      </c>
      <c r="G1214" s="1" t="s">
        <v>2812</v>
      </c>
      <c r="H1214" s="1">
        <v>2</v>
      </c>
      <c r="I1214" s="1" t="s">
        <v>1464</v>
      </c>
      <c r="J1214" s="1">
        <v>0.6</v>
      </c>
      <c r="K1214" s="1" t="s">
        <v>161</v>
      </c>
      <c r="L1214" s="1" t="s">
        <v>77</v>
      </c>
      <c r="M1214" s="1" t="s">
        <v>78</v>
      </c>
      <c r="N1214" s="1" t="s">
        <v>79</v>
      </c>
      <c r="O1214" s="1" t="s">
        <v>80</v>
      </c>
      <c r="P1214" s="1" t="s">
        <v>81</v>
      </c>
      <c r="R1214" s="93">
        <v>43187</v>
      </c>
      <c r="S1214" s="93" t="s">
        <v>2761</v>
      </c>
    </row>
    <row r="1215" spans="1:19">
      <c r="A1215" s="92">
        <v>43187</v>
      </c>
      <c r="C1215" s="1" t="s">
        <v>66</v>
      </c>
      <c r="E1215" s="98" t="s">
        <v>1470</v>
      </c>
      <c r="F1215" s="1" t="s">
        <v>1471</v>
      </c>
      <c r="G1215" s="1" t="s">
        <v>2858</v>
      </c>
      <c r="H1215" s="1">
        <v>0.64</v>
      </c>
      <c r="I1215" s="1" t="s">
        <v>1464</v>
      </c>
      <c r="J1215" s="1">
        <v>0.192</v>
      </c>
      <c r="K1215" s="1" t="s">
        <v>161</v>
      </c>
      <c r="L1215" s="1" t="s">
        <v>77</v>
      </c>
      <c r="M1215" s="1" t="s">
        <v>78</v>
      </c>
      <c r="N1215" s="1" t="s">
        <v>79</v>
      </c>
      <c r="O1215" s="1" t="s">
        <v>80</v>
      </c>
      <c r="P1215" s="1" t="s">
        <v>81</v>
      </c>
      <c r="R1215" s="93">
        <v>43187</v>
      </c>
      <c r="S1215" s="93" t="s">
        <v>2761</v>
      </c>
    </row>
    <row r="1216" spans="1:19">
      <c r="A1216" s="92">
        <v>43188</v>
      </c>
      <c r="C1216" s="1" t="s">
        <v>56</v>
      </c>
      <c r="E1216" s="98" t="s">
        <v>1474</v>
      </c>
      <c r="F1216" s="1" t="s">
        <v>1475</v>
      </c>
      <c r="G1216" s="1" t="s">
        <v>2859</v>
      </c>
      <c r="H1216" s="1">
        <v>0.5</v>
      </c>
      <c r="I1216" s="1" t="s">
        <v>1464</v>
      </c>
      <c r="J1216" s="1">
        <v>0.15</v>
      </c>
      <c r="K1216" s="1" t="s">
        <v>161</v>
      </c>
      <c r="L1216" s="1" t="s">
        <v>77</v>
      </c>
      <c r="M1216" s="1" t="s">
        <v>78</v>
      </c>
      <c r="N1216" s="1" t="s">
        <v>79</v>
      </c>
      <c r="O1216" s="1" t="s">
        <v>80</v>
      </c>
      <c r="P1216" s="1" t="s">
        <v>81</v>
      </c>
      <c r="R1216" s="93">
        <v>43188</v>
      </c>
      <c r="S1216" s="93" t="s">
        <v>2761</v>
      </c>
    </row>
    <row r="1217" spans="1:19">
      <c r="A1217" s="92">
        <v>43187</v>
      </c>
      <c r="C1217" s="1" t="s">
        <v>56</v>
      </c>
      <c r="E1217" s="98" t="s">
        <v>594</v>
      </c>
      <c r="F1217" s="1" t="s">
        <v>595</v>
      </c>
      <c r="G1217" s="1" t="s">
        <v>2813</v>
      </c>
      <c r="H1217" s="1">
        <v>2</v>
      </c>
      <c r="I1217" s="1" t="s">
        <v>1486</v>
      </c>
      <c r="J1217" s="1">
        <v>2</v>
      </c>
      <c r="K1217" s="1" t="s">
        <v>596</v>
      </c>
      <c r="L1217" s="1" t="s">
        <v>77</v>
      </c>
      <c r="M1217" s="1" t="s">
        <v>78</v>
      </c>
      <c r="N1217" s="1" t="s">
        <v>79</v>
      </c>
      <c r="O1217" s="1" t="s">
        <v>80</v>
      </c>
      <c r="P1217" s="1" t="s">
        <v>81</v>
      </c>
      <c r="R1217" s="93">
        <v>43187</v>
      </c>
      <c r="S1217" s="93" t="s">
        <v>2757</v>
      </c>
    </row>
    <row r="1218" spans="1:19">
      <c r="A1218" s="92">
        <v>43187</v>
      </c>
      <c r="C1218" s="1" t="s">
        <v>56</v>
      </c>
      <c r="E1218" s="98" t="s">
        <v>245</v>
      </c>
      <c r="F1218" s="1" t="s">
        <v>76</v>
      </c>
      <c r="G1218" s="1" t="s">
        <v>2800</v>
      </c>
      <c r="H1218" s="1">
        <v>2.9</v>
      </c>
      <c r="I1218" s="1" t="s">
        <v>1486</v>
      </c>
      <c r="J1218" s="1">
        <v>2.9</v>
      </c>
      <c r="K1218" s="1" t="s">
        <v>76</v>
      </c>
      <c r="L1218" s="1" t="s">
        <v>77</v>
      </c>
      <c r="M1218" s="1" t="s">
        <v>78</v>
      </c>
      <c r="N1218" s="1" t="s">
        <v>79</v>
      </c>
      <c r="O1218" s="1" t="s">
        <v>80</v>
      </c>
      <c r="P1218" s="1" t="s">
        <v>81</v>
      </c>
      <c r="R1218" s="93">
        <v>43187</v>
      </c>
      <c r="S1218" s="93" t="s">
        <v>2757</v>
      </c>
    </row>
    <row r="1219" spans="1:19">
      <c r="A1219" s="92">
        <v>43187</v>
      </c>
      <c r="C1219" s="1" t="s">
        <v>56</v>
      </c>
      <c r="E1219" s="98" t="s">
        <v>594</v>
      </c>
      <c r="F1219" s="1" t="s">
        <v>595</v>
      </c>
      <c r="G1219" s="1" t="s">
        <v>2813</v>
      </c>
      <c r="H1219" s="1">
        <v>3</v>
      </c>
      <c r="I1219" s="1" t="s">
        <v>1487</v>
      </c>
      <c r="J1219" s="1">
        <v>3</v>
      </c>
      <c r="K1219" s="1" t="s">
        <v>596</v>
      </c>
      <c r="L1219" s="1" t="s">
        <v>77</v>
      </c>
      <c r="M1219" s="1" t="s">
        <v>78</v>
      </c>
      <c r="N1219" s="1" t="s">
        <v>79</v>
      </c>
      <c r="O1219" s="1" t="s">
        <v>80</v>
      </c>
      <c r="P1219" s="1" t="s">
        <v>81</v>
      </c>
      <c r="R1219" s="93">
        <v>43187</v>
      </c>
      <c r="S1219" s="93" t="s">
        <v>2762</v>
      </c>
    </row>
    <row r="1220" spans="1:19">
      <c r="A1220" s="92">
        <v>43187</v>
      </c>
      <c r="C1220" s="1" t="s">
        <v>56</v>
      </c>
      <c r="E1220" s="98" t="s">
        <v>245</v>
      </c>
      <c r="F1220" s="1" t="s">
        <v>76</v>
      </c>
      <c r="G1220" s="1" t="s">
        <v>2800</v>
      </c>
      <c r="H1220" s="1">
        <v>0.44</v>
      </c>
      <c r="I1220" s="1" t="s">
        <v>1487</v>
      </c>
      <c r="J1220" s="1">
        <v>0.44</v>
      </c>
      <c r="K1220" s="1" t="s">
        <v>76</v>
      </c>
      <c r="L1220" s="1" t="s">
        <v>77</v>
      </c>
      <c r="M1220" s="1" t="s">
        <v>78</v>
      </c>
      <c r="N1220" s="1" t="s">
        <v>79</v>
      </c>
      <c r="O1220" s="1" t="s">
        <v>80</v>
      </c>
      <c r="P1220" s="1" t="s">
        <v>81</v>
      </c>
      <c r="R1220" s="93">
        <v>43187</v>
      </c>
      <c r="S1220" s="93" t="s">
        <v>2762</v>
      </c>
    </row>
    <row r="1221" spans="1:19">
      <c r="A1221" s="92">
        <v>43187</v>
      </c>
      <c r="C1221" s="1" t="s">
        <v>56</v>
      </c>
      <c r="E1221" s="98" t="s">
        <v>1506</v>
      </c>
      <c r="F1221" s="1" t="s">
        <v>1507</v>
      </c>
      <c r="G1221" s="1" t="s">
        <v>2860</v>
      </c>
      <c r="H1221" s="1">
        <v>2</v>
      </c>
      <c r="I1221" s="1" t="s">
        <v>1487</v>
      </c>
      <c r="J1221" s="1">
        <v>2</v>
      </c>
      <c r="K1221" s="1" t="s">
        <v>161</v>
      </c>
      <c r="L1221" s="1" t="s">
        <v>77</v>
      </c>
      <c r="M1221" s="1" t="s">
        <v>78</v>
      </c>
      <c r="N1221" s="1" t="s">
        <v>79</v>
      </c>
      <c r="O1221" s="1" t="s">
        <v>80</v>
      </c>
      <c r="P1221" s="1" t="s">
        <v>81</v>
      </c>
      <c r="R1221" s="93">
        <v>43187</v>
      </c>
      <c r="S1221" s="93" t="s">
        <v>2762</v>
      </c>
    </row>
    <row r="1222" spans="1:19">
      <c r="A1222" s="92">
        <v>43188</v>
      </c>
      <c r="C1222" s="1" t="s">
        <v>56</v>
      </c>
      <c r="E1222" s="98" t="s">
        <v>1020</v>
      </c>
      <c r="F1222" s="1" t="s">
        <v>186</v>
      </c>
      <c r="G1222" s="1" t="s">
        <v>2828</v>
      </c>
      <c r="H1222" s="1">
        <v>4.0999999999999996</v>
      </c>
      <c r="I1222" s="1" t="s">
        <v>1512</v>
      </c>
      <c r="J1222" s="1">
        <v>4.0999999999999996</v>
      </c>
      <c r="K1222" s="1" t="s">
        <v>186</v>
      </c>
      <c r="L1222" s="1" t="s">
        <v>187</v>
      </c>
      <c r="M1222" s="1" t="s">
        <v>78</v>
      </c>
      <c r="N1222" s="1" t="s">
        <v>79</v>
      </c>
      <c r="O1222" s="1" t="s">
        <v>80</v>
      </c>
      <c r="P1222" s="1" t="s">
        <v>81</v>
      </c>
      <c r="R1222" s="93">
        <v>43188</v>
      </c>
      <c r="S1222" s="93" t="s">
        <v>2764</v>
      </c>
    </row>
    <row r="1223" spans="1:19">
      <c r="A1223" s="92">
        <v>43188</v>
      </c>
      <c r="C1223" s="1" t="s">
        <v>56</v>
      </c>
      <c r="E1223" s="98" t="s">
        <v>1519</v>
      </c>
      <c r="F1223" s="1" t="s">
        <v>1520</v>
      </c>
      <c r="G1223" s="1" t="s">
        <v>2861</v>
      </c>
      <c r="H1223" s="1">
        <v>2</v>
      </c>
      <c r="I1223" s="1" t="s">
        <v>1512</v>
      </c>
      <c r="J1223" s="1">
        <v>2</v>
      </c>
      <c r="K1223" s="1" t="s">
        <v>178</v>
      </c>
      <c r="L1223" s="1" t="s">
        <v>77</v>
      </c>
      <c r="M1223" s="1" t="s">
        <v>78</v>
      </c>
      <c r="N1223" s="1" t="s">
        <v>79</v>
      </c>
      <c r="O1223" s="1" t="s">
        <v>80</v>
      </c>
      <c r="P1223" s="1" t="s">
        <v>81</v>
      </c>
      <c r="R1223" s="93">
        <v>43188</v>
      </c>
      <c r="S1223" s="93" t="s">
        <v>2764</v>
      </c>
    </row>
    <row r="1224" spans="1:19">
      <c r="A1224" s="92">
        <v>43188</v>
      </c>
      <c r="C1224" s="1" t="s">
        <v>56</v>
      </c>
      <c r="E1224" s="98" t="s">
        <v>1277</v>
      </c>
      <c r="F1224" s="1" t="s">
        <v>178</v>
      </c>
      <c r="G1224" s="1" t="s">
        <v>2789</v>
      </c>
      <c r="H1224" s="1">
        <v>1</v>
      </c>
      <c r="I1224" s="1" t="s">
        <v>1512</v>
      </c>
      <c r="J1224" s="1">
        <v>1</v>
      </c>
      <c r="K1224" s="1" t="s">
        <v>178</v>
      </c>
      <c r="L1224" s="1" t="s">
        <v>77</v>
      </c>
      <c r="M1224" s="1" t="s">
        <v>78</v>
      </c>
      <c r="N1224" s="1" t="s">
        <v>79</v>
      </c>
      <c r="O1224" s="1" t="s">
        <v>80</v>
      </c>
      <c r="P1224" s="1" t="s">
        <v>81</v>
      </c>
      <c r="R1224" s="93">
        <v>43188</v>
      </c>
      <c r="S1224" s="93" t="s">
        <v>2764</v>
      </c>
    </row>
    <row r="1225" spans="1:19">
      <c r="A1225" s="92">
        <v>43188</v>
      </c>
      <c r="C1225" s="1" t="s">
        <v>56</v>
      </c>
      <c r="E1225" s="98" t="s">
        <v>245</v>
      </c>
      <c r="F1225" s="1" t="s">
        <v>76</v>
      </c>
      <c r="G1225" s="1" t="s">
        <v>2800</v>
      </c>
      <c r="H1225" s="1">
        <v>0.98</v>
      </c>
      <c r="I1225" s="1" t="s">
        <v>1512</v>
      </c>
      <c r="J1225" s="1">
        <v>0.98</v>
      </c>
      <c r="K1225" s="1" t="s">
        <v>76</v>
      </c>
      <c r="L1225" s="1" t="s">
        <v>77</v>
      </c>
      <c r="M1225" s="1" t="s">
        <v>78</v>
      </c>
      <c r="N1225" s="1" t="s">
        <v>79</v>
      </c>
      <c r="O1225" s="1" t="s">
        <v>80</v>
      </c>
      <c r="P1225" s="1" t="s">
        <v>81</v>
      </c>
      <c r="R1225" s="93">
        <v>43188</v>
      </c>
      <c r="S1225" s="93" t="s">
        <v>2764</v>
      </c>
    </row>
    <row r="1226" spans="1:19">
      <c r="A1226" s="92">
        <v>43188</v>
      </c>
      <c r="C1226" s="1" t="s">
        <v>66</v>
      </c>
      <c r="E1226" s="98" t="s">
        <v>809</v>
      </c>
      <c r="F1226" s="1" t="s">
        <v>810</v>
      </c>
      <c r="G1226" s="1" t="s">
        <v>2820</v>
      </c>
      <c r="H1226" s="1">
        <v>7</v>
      </c>
      <c r="I1226" s="1" t="s">
        <v>1534</v>
      </c>
      <c r="J1226" s="1">
        <v>4.2</v>
      </c>
      <c r="K1226" s="1" t="s">
        <v>596</v>
      </c>
      <c r="L1226" s="1" t="s">
        <v>77</v>
      </c>
      <c r="M1226" s="1" t="s">
        <v>78</v>
      </c>
      <c r="N1226" s="1" t="s">
        <v>79</v>
      </c>
      <c r="O1226" s="1" t="s">
        <v>80</v>
      </c>
      <c r="P1226" s="1" t="s">
        <v>81</v>
      </c>
      <c r="R1226" s="93">
        <v>43188</v>
      </c>
      <c r="S1226" s="93" t="s">
        <v>2765</v>
      </c>
    </row>
    <row r="1227" spans="1:19">
      <c r="A1227" s="92">
        <v>43188</v>
      </c>
      <c r="C1227" s="1" t="s">
        <v>56</v>
      </c>
      <c r="E1227" s="98" t="s">
        <v>196</v>
      </c>
      <c r="F1227" s="1" t="s">
        <v>197</v>
      </c>
      <c r="G1227" s="1" t="s">
        <v>2797</v>
      </c>
      <c r="H1227" s="1">
        <v>5.5</v>
      </c>
      <c r="I1227" s="1" t="s">
        <v>1534</v>
      </c>
      <c r="J1227" s="1">
        <v>3.3</v>
      </c>
      <c r="K1227" s="1" t="s">
        <v>198</v>
      </c>
      <c r="L1227" s="1" t="s">
        <v>187</v>
      </c>
      <c r="M1227" s="1" t="s">
        <v>78</v>
      </c>
      <c r="N1227" s="1" t="s">
        <v>79</v>
      </c>
      <c r="O1227" s="1" t="s">
        <v>80</v>
      </c>
      <c r="P1227" s="1" t="s">
        <v>81</v>
      </c>
      <c r="R1227" s="93">
        <v>43188</v>
      </c>
      <c r="S1227" s="93" t="s">
        <v>2765</v>
      </c>
    </row>
    <row r="1228" spans="1:19">
      <c r="A1228" s="92">
        <v>43188</v>
      </c>
      <c r="C1228" s="1" t="s">
        <v>56</v>
      </c>
      <c r="E1228" s="98" t="s">
        <v>188</v>
      </c>
      <c r="F1228" s="1" t="s">
        <v>189</v>
      </c>
      <c r="G1228" s="1" t="s">
        <v>2796</v>
      </c>
      <c r="H1228" s="1">
        <v>3.56</v>
      </c>
      <c r="I1228" s="1" t="s">
        <v>1545</v>
      </c>
      <c r="J1228" s="1">
        <v>1.0680000000000001</v>
      </c>
      <c r="K1228" s="1" t="s">
        <v>189</v>
      </c>
      <c r="L1228" s="1" t="s">
        <v>77</v>
      </c>
      <c r="M1228" s="1" t="s">
        <v>78</v>
      </c>
      <c r="N1228" s="1" t="s">
        <v>79</v>
      </c>
      <c r="O1228" s="1" t="s">
        <v>80</v>
      </c>
      <c r="P1228" s="1" t="s">
        <v>81</v>
      </c>
      <c r="R1228" s="93">
        <v>43188</v>
      </c>
      <c r="S1228" s="93" t="s">
        <v>2767</v>
      </c>
    </row>
    <row r="1229" spans="1:19">
      <c r="A1229" s="92">
        <v>43188</v>
      </c>
      <c r="C1229" s="1" t="s">
        <v>56</v>
      </c>
      <c r="E1229" s="98" t="s">
        <v>1551</v>
      </c>
      <c r="F1229" s="1" t="s">
        <v>1552</v>
      </c>
      <c r="G1229" s="1" t="s">
        <v>2862</v>
      </c>
      <c r="H1229" s="1">
        <v>10</v>
      </c>
      <c r="I1229" s="1" t="s">
        <v>1545</v>
      </c>
      <c r="J1229" s="1">
        <v>3</v>
      </c>
      <c r="K1229" s="1" t="s">
        <v>189</v>
      </c>
      <c r="L1229" s="1" t="s">
        <v>77</v>
      </c>
      <c r="M1229" s="1" t="s">
        <v>78</v>
      </c>
      <c r="N1229" s="1" t="s">
        <v>79</v>
      </c>
      <c r="O1229" s="1" t="s">
        <v>80</v>
      </c>
      <c r="P1229" s="1" t="s">
        <v>81</v>
      </c>
      <c r="R1229" s="93">
        <v>43188</v>
      </c>
      <c r="S1229" s="93" t="s">
        <v>2767</v>
      </c>
    </row>
    <row r="1230" spans="1:19">
      <c r="A1230" s="92">
        <v>43188</v>
      </c>
      <c r="C1230" s="1" t="s">
        <v>66</v>
      </c>
      <c r="E1230" s="98" t="s">
        <v>1470</v>
      </c>
      <c r="F1230" s="1" t="s">
        <v>1471</v>
      </c>
      <c r="G1230" s="1" t="s">
        <v>2858</v>
      </c>
      <c r="H1230" s="1">
        <v>0.52</v>
      </c>
      <c r="I1230" s="1" t="s">
        <v>1545</v>
      </c>
      <c r="J1230" s="1">
        <v>0.156</v>
      </c>
      <c r="K1230" s="1" t="s">
        <v>161</v>
      </c>
      <c r="L1230" s="1" t="s">
        <v>77</v>
      </c>
      <c r="M1230" s="1" t="s">
        <v>78</v>
      </c>
      <c r="N1230" s="1" t="s">
        <v>79</v>
      </c>
      <c r="O1230" s="1" t="s">
        <v>80</v>
      </c>
      <c r="P1230" s="1" t="s">
        <v>81</v>
      </c>
      <c r="R1230" s="93">
        <v>43188</v>
      </c>
      <c r="S1230" s="93" t="s">
        <v>2767</v>
      </c>
    </row>
    <row r="1231" spans="1:19">
      <c r="A1231" s="92">
        <v>43189</v>
      </c>
      <c r="C1231" s="1" t="s">
        <v>56</v>
      </c>
      <c r="E1231" s="98" t="s">
        <v>1556</v>
      </c>
      <c r="F1231" s="1" t="s">
        <v>1557</v>
      </c>
      <c r="G1231" s="1" t="s">
        <v>2863</v>
      </c>
      <c r="H1231" s="1">
        <v>0.15</v>
      </c>
      <c r="I1231" s="1" t="s">
        <v>1555</v>
      </c>
      <c r="J1231" s="1">
        <v>4.4999999999999998E-2</v>
      </c>
      <c r="K1231" s="1" t="s">
        <v>198</v>
      </c>
      <c r="L1231" s="1" t="s">
        <v>187</v>
      </c>
      <c r="M1231" s="1" t="s">
        <v>78</v>
      </c>
      <c r="N1231" s="1" t="s">
        <v>79</v>
      </c>
      <c r="O1231" s="1" t="s">
        <v>80</v>
      </c>
      <c r="P1231" s="1" t="s">
        <v>81</v>
      </c>
      <c r="R1231" s="93">
        <v>43189</v>
      </c>
      <c r="S1231" s="93" t="s">
        <v>2768</v>
      </c>
    </row>
    <row r="1232" spans="1:19">
      <c r="A1232" s="92">
        <v>43190</v>
      </c>
      <c r="C1232" s="1" t="s">
        <v>56</v>
      </c>
      <c r="E1232" s="98" t="s">
        <v>1109</v>
      </c>
      <c r="F1232" s="1" t="s">
        <v>1110</v>
      </c>
      <c r="G1232" s="1" t="s">
        <v>2837</v>
      </c>
      <c r="H1232" s="1">
        <v>0.5</v>
      </c>
      <c r="I1232" s="1" t="s">
        <v>1555</v>
      </c>
      <c r="J1232" s="1">
        <v>0.15</v>
      </c>
      <c r="K1232" s="1" t="s">
        <v>189</v>
      </c>
      <c r="L1232" s="1" t="s">
        <v>77</v>
      </c>
      <c r="M1232" s="1" t="s">
        <v>78</v>
      </c>
      <c r="N1232" s="1" t="s">
        <v>79</v>
      </c>
      <c r="O1232" s="1" t="s">
        <v>80</v>
      </c>
      <c r="P1232" s="1" t="s">
        <v>81</v>
      </c>
      <c r="R1232" s="93">
        <v>43190</v>
      </c>
      <c r="S1232" s="93" t="s">
        <v>2768</v>
      </c>
    </row>
    <row r="1233" spans="1:19">
      <c r="A1233" s="92">
        <v>43189</v>
      </c>
      <c r="C1233" s="1" t="s">
        <v>56</v>
      </c>
      <c r="E1233" s="98" t="s">
        <v>245</v>
      </c>
      <c r="F1233" s="1" t="s">
        <v>76</v>
      </c>
      <c r="G1233" s="1" t="s">
        <v>2800</v>
      </c>
      <c r="H1233" s="1">
        <v>4.9000000000000004</v>
      </c>
      <c r="I1233" s="1" t="s">
        <v>1580</v>
      </c>
      <c r="J1233" s="1">
        <v>4.9000000000000004</v>
      </c>
      <c r="K1233" s="1" t="s">
        <v>76</v>
      </c>
      <c r="L1233" s="1" t="s">
        <v>77</v>
      </c>
      <c r="M1233" s="1" t="s">
        <v>78</v>
      </c>
      <c r="N1233" s="1" t="s">
        <v>79</v>
      </c>
      <c r="O1233" s="1" t="s">
        <v>80</v>
      </c>
      <c r="P1233" s="1" t="s">
        <v>81</v>
      </c>
      <c r="R1233" s="93">
        <v>43189</v>
      </c>
      <c r="S1233" s="93" t="s">
        <v>2770</v>
      </c>
    </row>
    <row r="1234" spans="1:19">
      <c r="A1234" s="92">
        <v>43190</v>
      </c>
      <c r="C1234" s="1" t="s">
        <v>56</v>
      </c>
      <c r="E1234" s="98" t="s">
        <v>1584</v>
      </c>
      <c r="F1234" s="1" t="s">
        <v>1585</v>
      </c>
      <c r="G1234" s="1" t="s">
        <v>2864</v>
      </c>
      <c r="H1234" s="1">
        <v>11</v>
      </c>
      <c r="I1234" s="1" t="s">
        <v>1580</v>
      </c>
      <c r="J1234" s="1">
        <v>11</v>
      </c>
      <c r="K1234" s="1" t="s">
        <v>189</v>
      </c>
      <c r="L1234" s="1" t="s">
        <v>77</v>
      </c>
      <c r="M1234" s="1" t="s">
        <v>78</v>
      </c>
      <c r="N1234" s="1" t="s">
        <v>79</v>
      </c>
      <c r="O1234" s="1" t="s">
        <v>80</v>
      </c>
      <c r="P1234" s="1" t="s">
        <v>81</v>
      </c>
      <c r="R1234" s="93">
        <v>43190</v>
      </c>
      <c r="S1234" s="93" t="s">
        <v>2770</v>
      </c>
    </row>
    <row r="1235" spans="1:19">
      <c r="A1235" s="92">
        <v>43189</v>
      </c>
      <c r="C1235" s="1" t="s">
        <v>66</v>
      </c>
      <c r="E1235" s="98" t="s">
        <v>809</v>
      </c>
      <c r="F1235" s="1" t="s">
        <v>810</v>
      </c>
      <c r="G1235" s="1" t="s">
        <v>2820</v>
      </c>
      <c r="H1235" s="1">
        <v>5</v>
      </c>
      <c r="I1235" s="1" t="s">
        <v>1586</v>
      </c>
      <c r="J1235" s="1">
        <v>3</v>
      </c>
      <c r="K1235" s="1" t="s">
        <v>596</v>
      </c>
      <c r="L1235" s="1" t="s">
        <v>77</v>
      </c>
      <c r="M1235" s="1" t="s">
        <v>78</v>
      </c>
      <c r="N1235" s="1" t="s">
        <v>79</v>
      </c>
      <c r="O1235" s="1" t="s">
        <v>80</v>
      </c>
      <c r="P1235" s="1" t="s">
        <v>81</v>
      </c>
      <c r="R1235" s="93">
        <v>43189</v>
      </c>
      <c r="S1235" s="93" t="s">
        <v>2771</v>
      </c>
    </row>
    <row r="1236" spans="1:19">
      <c r="A1236" s="92">
        <v>43189</v>
      </c>
      <c r="C1236" s="1" t="s">
        <v>56</v>
      </c>
      <c r="E1236" s="98" t="s">
        <v>159</v>
      </c>
      <c r="F1236" s="1" t="s">
        <v>160</v>
      </c>
      <c r="G1236" s="1" t="s">
        <v>2793</v>
      </c>
      <c r="H1236" s="1">
        <v>0.25</v>
      </c>
      <c r="I1236" s="1" t="s">
        <v>1586</v>
      </c>
      <c r="J1236" s="1">
        <v>0.15</v>
      </c>
      <c r="K1236" s="1" t="s">
        <v>161</v>
      </c>
      <c r="L1236" s="1" t="s">
        <v>77</v>
      </c>
      <c r="M1236" s="1" t="s">
        <v>78</v>
      </c>
      <c r="N1236" s="1" t="s">
        <v>79</v>
      </c>
      <c r="O1236" s="1" t="s">
        <v>80</v>
      </c>
      <c r="P1236" s="1" t="s">
        <v>81</v>
      </c>
      <c r="R1236" s="93">
        <v>43189</v>
      </c>
      <c r="S1236" s="93" t="s">
        <v>2771</v>
      </c>
    </row>
    <row r="1237" spans="1:19">
      <c r="A1237" s="92">
        <v>43190</v>
      </c>
      <c r="C1237" s="1" t="s">
        <v>66</v>
      </c>
      <c r="E1237" s="98" t="s">
        <v>809</v>
      </c>
      <c r="F1237" s="1" t="s">
        <v>810</v>
      </c>
      <c r="G1237" s="1" t="s">
        <v>2820</v>
      </c>
      <c r="H1237" s="1">
        <v>5</v>
      </c>
      <c r="I1237" s="1" t="s">
        <v>1586</v>
      </c>
      <c r="J1237" s="1">
        <v>3</v>
      </c>
      <c r="K1237" s="1" t="s">
        <v>596</v>
      </c>
      <c r="L1237" s="1" t="s">
        <v>77</v>
      </c>
      <c r="M1237" s="1" t="s">
        <v>78</v>
      </c>
      <c r="N1237" s="1" t="s">
        <v>79</v>
      </c>
      <c r="O1237" s="1" t="s">
        <v>80</v>
      </c>
      <c r="P1237" s="1" t="s">
        <v>81</v>
      </c>
      <c r="R1237" s="93">
        <v>43190</v>
      </c>
      <c r="S1237" s="93" t="s">
        <v>2771</v>
      </c>
    </row>
    <row r="1238" spans="1:19">
      <c r="A1238" s="92">
        <v>43190</v>
      </c>
      <c r="C1238" s="1" t="s">
        <v>56</v>
      </c>
      <c r="E1238" s="98" t="s">
        <v>354</v>
      </c>
      <c r="F1238" s="1" t="s">
        <v>355</v>
      </c>
      <c r="G1238" s="1" t="s">
        <v>2778</v>
      </c>
      <c r="H1238" s="1">
        <v>0.3</v>
      </c>
      <c r="I1238" s="1" t="s">
        <v>1586</v>
      </c>
      <c r="J1238" s="1">
        <v>0.18</v>
      </c>
      <c r="K1238" s="1" t="s">
        <v>356</v>
      </c>
      <c r="L1238" s="1" t="s">
        <v>187</v>
      </c>
      <c r="M1238" s="1" t="s">
        <v>78</v>
      </c>
      <c r="N1238" s="1" t="s">
        <v>79</v>
      </c>
      <c r="O1238" s="1" t="s">
        <v>80</v>
      </c>
      <c r="P1238" s="1" t="s">
        <v>81</v>
      </c>
      <c r="R1238" s="93">
        <v>43190</v>
      </c>
      <c r="S1238" s="93" t="s">
        <v>2771</v>
      </c>
    </row>
    <row r="1239" spans="1:19">
      <c r="A1239" s="92">
        <v>43190</v>
      </c>
      <c r="C1239" s="1" t="s">
        <v>56</v>
      </c>
      <c r="E1239" s="98" t="s">
        <v>159</v>
      </c>
      <c r="F1239" s="1" t="s">
        <v>160</v>
      </c>
      <c r="G1239" s="1" t="s">
        <v>2793</v>
      </c>
      <c r="H1239" s="1">
        <v>2.09</v>
      </c>
      <c r="I1239" s="1" t="s">
        <v>1586</v>
      </c>
      <c r="J1239" s="1">
        <v>1.254</v>
      </c>
      <c r="K1239" s="1" t="s">
        <v>161</v>
      </c>
      <c r="L1239" s="1" t="s">
        <v>77</v>
      </c>
      <c r="M1239" s="1" t="s">
        <v>78</v>
      </c>
      <c r="N1239" s="1" t="s">
        <v>79</v>
      </c>
      <c r="O1239" s="1" t="s">
        <v>80</v>
      </c>
      <c r="P1239" s="1" t="s">
        <v>81</v>
      </c>
      <c r="R1239" s="93">
        <v>43190</v>
      </c>
      <c r="S1239" s="93" t="s">
        <v>2771</v>
      </c>
    </row>
    <row r="1240" spans="1:19">
      <c r="A1240" s="92">
        <v>43189</v>
      </c>
      <c r="C1240" s="1" t="s">
        <v>56</v>
      </c>
      <c r="E1240" s="98" t="s">
        <v>594</v>
      </c>
      <c r="F1240" s="1" t="s">
        <v>595</v>
      </c>
      <c r="G1240" s="1" t="s">
        <v>2813</v>
      </c>
      <c r="H1240" s="1">
        <v>6.3280000000000003</v>
      </c>
      <c r="I1240" s="1" t="s">
        <v>1594</v>
      </c>
      <c r="J1240" s="1">
        <v>6.3280000000000003</v>
      </c>
      <c r="K1240" s="1" t="s">
        <v>596</v>
      </c>
      <c r="L1240" s="1" t="s">
        <v>77</v>
      </c>
      <c r="M1240" s="1" t="s">
        <v>78</v>
      </c>
      <c r="N1240" s="1" t="s">
        <v>79</v>
      </c>
      <c r="O1240" s="1" t="s">
        <v>80</v>
      </c>
      <c r="P1240" s="1" t="s">
        <v>81</v>
      </c>
      <c r="R1240" s="93">
        <v>43189</v>
      </c>
      <c r="S1240" s="93" t="s">
        <v>2770</v>
      </c>
    </row>
    <row r="1241" spans="1:19">
      <c r="A1241" s="92">
        <v>43189</v>
      </c>
      <c r="C1241" s="1" t="s">
        <v>56</v>
      </c>
      <c r="E1241" s="98" t="s">
        <v>1164</v>
      </c>
      <c r="F1241" s="1" t="s">
        <v>1165</v>
      </c>
      <c r="G1241" s="1" t="s">
        <v>2841</v>
      </c>
      <c r="H1241" s="1">
        <v>2.1</v>
      </c>
      <c r="I1241" s="1" t="s">
        <v>1594</v>
      </c>
      <c r="J1241" s="1">
        <v>2.1</v>
      </c>
      <c r="K1241" s="1" t="s">
        <v>187</v>
      </c>
      <c r="L1241" s="1" t="s">
        <v>187</v>
      </c>
      <c r="M1241" s="1" t="s">
        <v>78</v>
      </c>
      <c r="N1241" s="1" t="s">
        <v>79</v>
      </c>
      <c r="O1241" s="1" t="s">
        <v>80</v>
      </c>
      <c r="P1241" s="1" t="s">
        <v>81</v>
      </c>
      <c r="R1241" s="93">
        <v>43189</v>
      </c>
      <c r="S1241" s="93" t="s">
        <v>2770</v>
      </c>
    </row>
    <row r="1242" spans="1:19">
      <c r="A1242" s="92">
        <v>43189</v>
      </c>
      <c r="C1242" s="1" t="s">
        <v>56</v>
      </c>
      <c r="E1242" s="98" t="s">
        <v>974</v>
      </c>
      <c r="F1242" s="1" t="s">
        <v>161</v>
      </c>
      <c r="G1242" s="1" t="s">
        <v>2825</v>
      </c>
      <c r="H1242" s="1">
        <v>1.4</v>
      </c>
      <c r="I1242" s="1" t="s">
        <v>1594</v>
      </c>
      <c r="J1242" s="1">
        <v>1.4</v>
      </c>
      <c r="K1242" s="1" t="s">
        <v>161</v>
      </c>
      <c r="L1242" s="1" t="s">
        <v>77</v>
      </c>
      <c r="M1242" s="1" t="s">
        <v>78</v>
      </c>
      <c r="N1242" s="1" t="s">
        <v>79</v>
      </c>
      <c r="O1242" s="1" t="s">
        <v>80</v>
      </c>
      <c r="P1242" s="1" t="s">
        <v>81</v>
      </c>
      <c r="R1242" s="93">
        <v>43189</v>
      </c>
      <c r="S1242" s="93" t="s">
        <v>2770</v>
      </c>
    </row>
    <row r="1243" spans="1:19">
      <c r="A1243" s="92">
        <v>43189</v>
      </c>
      <c r="C1243" s="1" t="s">
        <v>56</v>
      </c>
      <c r="E1243" s="98" t="s">
        <v>421</v>
      </c>
      <c r="F1243" s="1" t="s">
        <v>422</v>
      </c>
      <c r="G1243" s="1" t="s">
        <v>2805</v>
      </c>
      <c r="H1243" s="1">
        <v>0.1</v>
      </c>
      <c r="I1243" s="1" t="s">
        <v>1594</v>
      </c>
      <c r="J1243" s="1">
        <v>0.1</v>
      </c>
      <c r="K1243" s="1" t="s">
        <v>356</v>
      </c>
      <c r="L1243" s="1" t="s">
        <v>187</v>
      </c>
      <c r="M1243" s="1" t="s">
        <v>78</v>
      </c>
      <c r="N1243" s="1" t="s">
        <v>79</v>
      </c>
      <c r="O1243" s="1" t="s">
        <v>80</v>
      </c>
      <c r="P1243" s="1" t="s">
        <v>81</v>
      </c>
      <c r="R1243" s="93">
        <v>43189</v>
      </c>
      <c r="S1243" s="93" t="s">
        <v>2770</v>
      </c>
    </row>
    <row r="1244" spans="1:19">
      <c r="A1244" s="92">
        <v>43189</v>
      </c>
      <c r="C1244" s="1" t="s">
        <v>66</v>
      </c>
      <c r="E1244" s="98" t="s">
        <v>1602</v>
      </c>
      <c r="F1244" s="1" t="s">
        <v>1603</v>
      </c>
      <c r="G1244" s="1" t="s">
        <v>2865</v>
      </c>
      <c r="H1244" s="1">
        <v>5</v>
      </c>
      <c r="I1244" s="1" t="s">
        <v>1594</v>
      </c>
      <c r="J1244" s="1">
        <v>5</v>
      </c>
      <c r="K1244" s="1" t="s">
        <v>161</v>
      </c>
      <c r="L1244" s="1" t="s">
        <v>77</v>
      </c>
      <c r="M1244" s="1" t="s">
        <v>78</v>
      </c>
      <c r="N1244" s="1" t="s">
        <v>79</v>
      </c>
      <c r="O1244" s="1" t="s">
        <v>80</v>
      </c>
      <c r="P1244" s="1" t="s">
        <v>81</v>
      </c>
      <c r="R1244" s="93">
        <v>43189</v>
      </c>
      <c r="S1244" s="93" t="s">
        <v>2770</v>
      </c>
    </row>
    <row r="1245" spans="1:19">
      <c r="A1245" s="92">
        <v>43189</v>
      </c>
      <c r="C1245" s="1" t="s">
        <v>66</v>
      </c>
      <c r="E1245" s="98" t="s">
        <v>1602</v>
      </c>
      <c r="F1245" s="1" t="s">
        <v>1603</v>
      </c>
      <c r="G1245" s="1" t="s">
        <v>2865</v>
      </c>
      <c r="H1245" s="1">
        <v>1.2</v>
      </c>
      <c r="I1245" s="1" t="s">
        <v>1594</v>
      </c>
      <c r="J1245" s="1">
        <v>1.2</v>
      </c>
      <c r="K1245" s="1" t="s">
        <v>161</v>
      </c>
      <c r="L1245" s="1" t="s">
        <v>77</v>
      </c>
      <c r="M1245" s="1" t="s">
        <v>78</v>
      </c>
      <c r="N1245" s="1" t="s">
        <v>79</v>
      </c>
      <c r="O1245" s="1" t="s">
        <v>80</v>
      </c>
      <c r="P1245" s="1" t="s">
        <v>81</v>
      </c>
      <c r="R1245" s="93">
        <v>43189</v>
      </c>
      <c r="S1245" s="93" t="s">
        <v>2770</v>
      </c>
    </row>
    <row r="1246" spans="1:19">
      <c r="A1246" s="92">
        <v>43189</v>
      </c>
      <c r="C1246" s="1" t="s">
        <v>56</v>
      </c>
      <c r="E1246" s="98" t="s">
        <v>478</v>
      </c>
      <c r="F1246" s="1" t="s">
        <v>479</v>
      </c>
      <c r="G1246" s="1" t="s">
        <v>2807</v>
      </c>
      <c r="H1246" s="1">
        <v>4.3</v>
      </c>
      <c r="I1246" s="1" t="s">
        <v>1594</v>
      </c>
      <c r="J1246" s="1">
        <v>4.3</v>
      </c>
      <c r="K1246" s="1" t="s">
        <v>480</v>
      </c>
      <c r="L1246" s="1" t="s">
        <v>187</v>
      </c>
      <c r="M1246" s="1" t="s">
        <v>78</v>
      </c>
      <c r="N1246" s="1" t="s">
        <v>79</v>
      </c>
      <c r="O1246" s="1" t="s">
        <v>80</v>
      </c>
      <c r="P1246" s="1" t="s">
        <v>81</v>
      </c>
      <c r="R1246" s="93">
        <v>43189</v>
      </c>
      <c r="S1246" s="93" t="s">
        <v>2770</v>
      </c>
    </row>
    <row r="1247" spans="1:19">
      <c r="A1247" s="92">
        <v>43189</v>
      </c>
      <c r="C1247" s="1" t="s">
        <v>56</v>
      </c>
      <c r="E1247" s="98" t="s">
        <v>196</v>
      </c>
      <c r="F1247" s="1" t="s">
        <v>197</v>
      </c>
      <c r="G1247" s="1" t="s">
        <v>2797</v>
      </c>
      <c r="H1247" s="1">
        <v>2.2000000000000002</v>
      </c>
      <c r="I1247" s="1" t="s">
        <v>1594</v>
      </c>
      <c r="J1247" s="1">
        <v>2.2000000000000002</v>
      </c>
      <c r="K1247" s="1" t="s">
        <v>198</v>
      </c>
      <c r="L1247" s="1" t="s">
        <v>187</v>
      </c>
      <c r="M1247" s="1" t="s">
        <v>78</v>
      </c>
      <c r="N1247" s="1" t="s">
        <v>79</v>
      </c>
      <c r="O1247" s="1" t="s">
        <v>80</v>
      </c>
      <c r="P1247" s="1" t="s">
        <v>81</v>
      </c>
      <c r="R1247" s="93">
        <v>43189</v>
      </c>
      <c r="S1247" s="93" t="s">
        <v>2770</v>
      </c>
    </row>
    <row r="1248" spans="1:19">
      <c r="A1248" s="92">
        <v>43189</v>
      </c>
      <c r="C1248" s="1" t="s">
        <v>56</v>
      </c>
      <c r="E1248" s="98" t="s">
        <v>1611</v>
      </c>
      <c r="F1248" s="1" t="s">
        <v>1612</v>
      </c>
      <c r="G1248" s="1" t="s">
        <v>2866</v>
      </c>
      <c r="H1248" s="1">
        <v>10</v>
      </c>
      <c r="I1248" s="1" t="s">
        <v>1594</v>
      </c>
      <c r="J1248" s="1">
        <v>10</v>
      </c>
      <c r="K1248" s="1" t="s">
        <v>189</v>
      </c>
      <c r="L1248" s="1" t="s">
        <v>77</v>
      </c>
      <c r="M1248" s="1" t="s">
        <v>78</v>
      </c>
      <c r="N1248" s="1" t="s">
        <v>79</v>
      </c>
      <c r="O1248" s="1" t="s">
        <v>80</v>
      </c>
      <c r="P1248" s="1" t="s">
        <v>81</v>
      </c>
      <c r="R1248" s="93">
        <v>43189</v>
      </c>
      <c r="S1248" s="93" t="s">
        <v>2770</v>
      </c>
    </row>
    <row r="1249" spans="1:19">
      <c r="A1249" s="92">
        <v>43189</v>
      </c>
      <c r="C1249" s="1" t="s">
        <v>66</v>
      </c>
      <c r="E1249" s="98" t="s">
        <v>1074</v>
      </c>
      <c r="F1249" s="1" t="s">
        <v>1075</v>
      </c>
      <c r="G1249" s="1" t="s">
        <v>2835</v>
      </c>
      <c r="H1249" s="1">
        <v>5</v>
      </c>
      <c r="I1249" s="1" t="s">
        <v>1594</v>
      </c>
      <c r="J1249" s="1">
        <v>5</v>
      </c>
      <c r="K1249" s="1" t="s">
        <v>480</v>
      </c>
      <c r="L1249" s="1" t="s">
        <v>187</v>
      </c>
      <c r="M1249" s="1" t="s">
        <v>78</v>
      </c>
      <c r="N1249" s="1" t="s">
        <v>79</v>
      </c>
      <c r="O1249" s="1" t="s">
        <v>80</v>
      </c>
      <c r="P1249" s="1" t="s">
        <v>81</v>
      </c>
      <c r="R1249" s="93">
        <v>43189</v>
      </c>
      <c r="S1249" s="93" t="s">
        <v>2770</v>
      </c>
    </row>
    <row r="1250" spans="1:19">
      <c r="A1250" s="92">
        <v>43189</v>
      </c>
      <c r="C1250" s="1" t="s">
        <v>56</v>
      </c>
      <c r="E1250" s="98" t="s">
        <v>1427</v>
      </c>
      <c r="F1250" s="1" t="s">
        <v>1230</v>
      </c>
      <c r="G1250" s="1" t="s">
        <v>2856</v>
      </c>
      <c r="H1250" s="1">
        <v>5</v>
      </c>
      <c r="I1250" s="1" t="s">
        <v>1594</v>
      </c>
      <c r="J1250" s="1">
        <v>5</v>
      </c>
      <c r="K1250" s="1" t="s">
        <v>1230</v>
      </c>
      <c r="L1250" s="1" t="s">
        <v>187</v>
      </c>
      <c r="M1250" s="1" t="s">
        <v>78</v>
      </c>
      <c r="N1250" s="1" t="s">
        <v>79</v>
      </c>
      <c r="O1250" s="1" t="s">
        <v>80</v>
      </c>
      <c r="P1250" s="1" t="s">
        <v>81</v>
      </c>
      <c r="R1250" s="93">
        <v>43189</v>
      </c>
      <c r="S1250" s="93" t="s">
        <v>2770</v>
      </c>
    </row>
    <row r="1251" spans="1:19">
      <c r="A1251" s="92">
        <v>43190</v>
      </c>
      <c r="C1251" s="1" t="s">
        <v>66</v>
      </c>
      <c r="E1251" s="98" t="s">
        <v>1074</v>
      </c>
      <c r="F1251" s="1" t="s">
        <v>1075</v>
      </c>
      <c r="G1251" s="1" t="s">
        <v>2835</v>
      </c>
      <c r="H1251" s="1">
        <v>5</v>
      </c>
      <c r="I1251" s="1" t="s">
        <v>1594</v>
      </c>
      <c r="J1251" s="1">
        <v>5</v>
      </c>
      <c r="K1251" s="1" t="s">
        <v>480</v>
      </c>
      <c r="L1251" s="1" t="s">
        <v>187</v>
      </c>
      <c r="M1251" s="1" t="s">
        <v>78</v>
      </c>
      <c r="N1251" s="1" t="s">
        <v>79</v>
      </c>
      <c r="O1251" s="1" t="s">
        <v>80</v>
      </c>
      <c r="P1251" s="1" t="s">
        <v>81</v>
      </c>
      <c r="R1251" s="93">
        <v>43190</v>
      </c>
      <c r="S1251" s="93" t="s">
        <v>2770</v>
      </c>
    </row>
    <row r="1252" spans="1:19">
      <c r="A1252" s="92">
        <v>43190</v>
      </c>
      <c r="C1252" s="1" t="s">
        <v>56</v>
      </c>
      <c r="E1252" s="98" t="s">
        <v>1617</v>
      </c>
      <c r="F1252" s="1" t="s">
        <v>480</v>
      </c>
      <c r="G1252" s="1" t="s">
        <v>2791</v>
      </c>
      <c r="H1252" s="1">
        <v>3.2</v>
      </c>
      <c r="I1252" s="1" t="s">
        <v>1594</v>
      </c>
      <c r="J1252" s="1">
        <v>3.2</v>
      </c>
      <c r="K1252" s="1" t="s">
        <v>480</v>
      </c>
      <c r="L1252" s="1" t="s">
        <v>187</v>
      </c>
      <c r="M1252" s="1" t="s">
        <v>78</v>
      </c>
      <c r="N1252" s="1" t="s">
        <v>79</v>
      </c>
      <c r="O1252" s="1" t="s">
        <v>80</v>
      </c>
      <c r="P1252" s="1" t="s">
        <v>81</v>
      </c>
      <c r="R1252" s="93">
        <v>43190</v>
      </c>
      <c r="S1252" s="93" t="s">
        <v>2770</v>
      </c>
    </row>
    <row r="1253" spans="1:19">
      <c r="A1253" s="92">
        <v>43190</v>
      </c>
      <c r="C1253" s="1" t="s">
        <v>56</v>
      </c>
      <c r="E1253" s="98" t="s">
        <v>1427</v>
      </c>
      <c r="F1253" s="1" t="s">
        <v>1230</v>
      </c>
      <c r="G1253" s="1" t="s">
        <v>2856</v>
      </c>
      <c r="H1253" s="1">
        <v>5</v>
      </c>
      <c r="I1253" s="1" t="s">
        <v>1594</v>
      </c>
      <c r="J1253" s="1">
        <v>5</v>
      </c>
      <c r="K1253" s="1" t="s">
        <v>1230</v>
      </c>
      <c r="L1253" s="1" t="s">
        <v>187</v>
      </c>
      <c r="M1253" s="1" t="s">
        <v>78</v>
      </c>
      <c r="N1253" s="1" t="s">
        <v>79</v>
      </c>
      <c r="O1253" s="1" t="s">
        <v>80</v>
      </c>
      <c r="P1253" s="1" t="s">
        <v>81</v>
      </c>
      <c r="R1253" s="93">
        <v>43190</v>
      </c>
      <c r="S1253" s="93" t="s">
        <v>2770</v>
      </c>
    </row>
    <row r="1254" spans="1:19">
      <c r="A1254" s="92">
        <v>43190</v>
      </c>
      <c r="C1254" s="1" t="s">
        <v>56</v>
      </c>
      <c r="E1254" s="98" t="s">
        <v>1427</v>
      </c>
      <c r="F1254" s="1" t="s">
        <v>1230</v>
      </c>
      <c r="G1254" s="1" t="s">
        <v>2856</v>
      </c>
      <c r="H1254" s="1">
        <v>5</v>
      </c>
      <c r="I1254" s="1" t="s">
        <v>1594</v>
      </c>
      <c r="J1254" s="1">
        <v>5</v>
      </c>
      <c r="K1254" s="1" t="s">
        <v>1230</v>
      </c>
      <c r="L1254" s="1" t="s">
        <v>187</v>
      </c>
      <c r="M1254" s="1" t="s">
        <v>78</v>
      </c>
      <c r="N1254" s="1" t="s">
        <v>79</v>
      </c>
      <c r="O1254" s="1" t="s">
        <v>80</v>
      </c>
      <c r="P1254" s="1" t="s">
        <v>81</v>
      </c>
      <c r="R1254" s="93">
        <v>43190</v>
      </c>
      <c r="S1254" s="93" t="s">
        <v>2770</v>
      </c>
    </row>
    <row r="1255" spans="1:19">
      <c r="A1255" s="92">
        <v>43190</v>
      </c>
      <c r="C1255" s="1" t="s">
        <v>66</v>
      </c>
      <c r="E1255" s="98" t="s">
        <v>1228</v>
      </c>
      <c r="F1255" s="1" t="s">
        <v>1229</v>
      </c>
      <c r="G1255" s="1" t="s">
        <v>2847</v>
      </c>
      <c r="H1255" s="1">
        <v>3</v>
      </c>
      <c r="I1255" s="1" t="s">
        <v>1594</v>
      </c>
      <c r="J1255" s="1">
        <v>3</v>
      </c>
      <c r="K1255" s="1" t="s">
        <v>1230</v>
      </c>
      <c r="L1255" s="1" t="s">
        <v>187</v>
      </c>
      <c r="M1255" s="1" t="s">
        <v>78</v>
      </c>
      <c r="N1255" s="1" t="s">
        <v>79</v>
      </c>
      <c r="O1255" s="1" t="s">
        <v>80</v>
      </c>
      <c r="P1255" s="1" t="s">
        <v>81</v>
      </c>
      <c r="R1255" s="93">
        <v>43190</v>
      </c>
      <c r="S1255" s="93" t="s">
        <v>2770</v>
      </c>
    </row>
    <row r="1256" spans="1:19">
      <c r="A1256" s="92">
        <v>43167</v>
      </c>
      <c r="C1256" s="1" t="s">
        <v>66</v>
      </c>
      <c r="E1256" s="98" t="s">
        <v>2774</v>
      </c>
      <c r="F1256" s="1" t="s">
        <v>2772</v>
      </c>
      <c r="G1256" s="1">
        <v>18621930901</v>
      </c>
      <c r="H1256" s="1">
        <v>0.4</v>
      </c>
      <c r="I1256" s="1" t="s">
        <v>614</v>
      </c>
      <c r="J1256" s="1">
        <v>0.4</v>
      </c>
      <c r="K1256" s="1" t="s">
        <v>773</v>
      </c>
      <c r="L1256" s="1" t="s">
        <v>187</v>
      </c>
      <c r="M1256" s="1" t="s">
        <v>78</v>
      </c>
      <c r="N1256" s="1" t="s">
        <v>79</v>
      </c>
      <c r="O1256" s="1" t="s">
        <v>80</v>
      </c>
      <c r="P1256" s="1" t="s">
        <v>81</v>
      </c>
      <c r="R1256" s="93">
        <v>43167</v>
      </c>
      <c r="S1256" s="93">
        <v>43529</v>
      </c>
    </row>
    <row r="1257" spans="1:19">
      <c r="A1257" s="92">
        <v>43185</v>
      </c>
      <c r="C1257" s="1" t="s">
        <v>66</v>
      </c>
      <c r="E1257" s="98" t="s">
        <v>2775</v>
      </c>
      <c r="F1257" s="1" t="s">
        <v>2773</v>
      </c>
      <c r="G1257" s="1">
        <v>13817049847</v>
      </c>
      <c r="H1257" s="1">
        <v>1</v>
      </c>
      <c r="I1257" s="1" t="s">
        <v>1385</v>
      </c>
      <c r="J1257" s="1">
        <v>0.3</v>
      </c>
      <c r="K1257" s="1" t="s">
        <v>76</v>
      </c>
      <c r="L1257" s="1" t="s">
        <v>77</v>
      </c>
      <c r="M1257" s="1" t="s">
        <v>78</v>
      </c>
      <c r="N1257" s="1" t="s">
        <v>79</v>
      </c>
      <c r="O1257" s="1" t="s">
        <v>80</v>
      </c>
      <c r="P1257" s="1" t="s">
        <v>81</v>
      </c>
      <c r="R1257" s="93">
        <v>43185</v>
      </c>
      <c r="S1257" s="93">
        <v>43277</v>
      </c>
    </row>
    <row r="1258" spans="1:19">
      <c r="A1258" s="92">
        <v>43191</v>
      </c>
      <c r="C1258" s="1" t="s">
        <v>56</v>
      </c>
      <c r="E1258" s="98" t="s">
        <v>1939</v>
      </c>
      <c r="F1258" s="1" t="s">
        <v>1940</v>
      </c>
      <c r="G1258" s="1">
        <v>15850700634</v>
      </c>
      <c r="H1258" s="1">
        <v>0.66</v>
      </c>
      <c r="I1258" s="1" t="s">
        <v>1941</v>
      </c>
      <c r="J1258" s="1">
        <v>0.19800000000000001</v>
      </c>
      <c r="K1258" s="1" t="s">
        <v>403</v>
      </c>
      <c r="L1258" s="1" t="s">
        <v>216</v>
      </c>
      <c r="M1258" s="1" t="s">
        <v>52</v>
      </c>
      <c r="N1258" s="1" t="s">
        <v>63</v>
      </c>
      <c r="O1258" s="1" t="s">
        <v>64</v>
      </c>
      <c r="P1258" s="1" t="s">
        <v>111</v>
      </c>
      <c r="R1258" s="93">
        <v>43191</v>
      </c>
      <c r="S1258" s="93">
        <v>43283</v>
      </c>
    </row>
    <row r="1259" spans="1:19">
      <c r="A1259" s="92">
        <v>43191</v>
      </c>
      <c r="C1259" s="1" t="s">
        <v>56</v>
      </c>
      <c r="E1259" s="98" t="s">
        <v>1942</v>
      </c>
      <c r="F1259" s="1" t="s">
        <v>1943</v>
      </c>
      <c r="G1259" s="1">
        <v>13951709317</v>
      </c>
      <c r="H1259" s="1">
        <v>0.01</v>
      </c>
      <c r="I1259" s="1" t="s">
        <v>1941</v>
      </c>
      <c r="J1259" s="1">
        <v>3.0000000000000001E-3</v>
      </c>
      <c r="K1259" s="1" t="s">
        <v>101</v>
      </c>
      <c r="L1259" s="1" t="s">
        <v>102</v>
      </c>
      <c r="M1259" s="1" t="s">
        <v>94</v>
      </c>
      <c r="N1259" s="1" t="s">
        <v>72</v>
      </c>
      <c r="O1259" s="1" t="s">
        <v>64</v>
      </c>
      <c r="P1259" s="1" t="s">
        <v>95</v>
      </c>
      <c r="R1259" s="93">
        <v>43191</v>
      </c>
      <c r="S1259" s="93">
        <v>43283</v>
      </c>
    </row>
    <row r="1260" spans="1:19">
      <c r="A1260" s="92">
        <v>43191</v>
      </c>
      <c r="C1260" s="1" t="s">
        <v>56</v>
      </c>
      <c r="E1260" s="98" t="s">
        <v>979</v>
      </c>
      <c r="F1260" s="1" t="s">
        <v>980</v>
      </c>
      <c r="G1260" s="1">
        <v>13046562270</v>
      </c>
      <c r="H1260" s="1">
        <v>3</v>
      </c>
      <c r="I1260" s="1" t="s">
        <v>1941</v>
      </c>
      <c r="J1260" s="1">
        <v>0.9</v>
      </c>
      <c r="K1260" s="1" t="s">
        <v>656</v>
      </c>
      <c r="L1260" s="1" t="s">
        <v>105</v>
      </c>
      <c r="M1260" s="1" t="s">
        <v>62</v>
      </c>
      <c r="N1260" s="1" t="s">
        <v>63</v>
      </c>
      <c r="O1260" s="1" t="s">
        <v>64</v>
      </c>
      <c r="P1260" s="1" t="s">
        <v>65</v>
      </c>
      <c r="R1260" s="93">
        <v>43191</v>
      </c>
      <c r="S1260" s="93">
        <v>43283</v>
      </c>
    </row>
    <row r="1261" spans="1:19">
      <c r="A1261" s="92">
        <v>43191</v>
      </c>
      <c r="C1261" s="1" t="s">
        <v>56</v>
      </c>
      <c r="E1261" s="98" t="s">
        <v>1944</v>
      </c>
      <c r="F1261" s="1" t="s">
        <v>1945</v>
      </c>
      <c r="G1261" s="1">
        <v>13951971256</v>
      </c>
      <c r="H1261" s="1">
        <v>3.53</v>
      </c>
      <c r="I1261" s="1" t="s">
        <v>1941</v>
      </c>
      <c r="J1261" s="1">
        <v>1.0589999999999999</v>
      </c>
      <c r="K1261" s="1" t="s">
        <v>280</v>
      </c>
      <c r="L1261" s="1" t="s">
        <v>281</v>
      </c>
      <c r="M1261" s="1" t="s">
        <v>71</v>
      </c>
      <c r="N1261" s="1" t="s">
        <v>72</v>
      </c>
      <c r="O1261" s="1" t="s">
        <v>64</v>
      </c>
      <c r="P1261" s="1" t="s">
        <v>73</v>
      </c>
      <c r="R1261" s="93">
        <v>43191</v>
      </c>
      <c r="S1261" s="93">
        <v>43283</v>
      </c>
    </row>
    <row r="1262" spans="1:19">
      <c r="A1262" s="92">
        <v>43191</v>
      </c>
      <c r="C1262" s="1" t="s">
        <v>56</v>
      </c>
      <c r="E1262" s="98" t="s">
        <v>1946</v>
      </c>
      <c r="F1262" s="1" t="s">
        <v>1947</v>
      </c>
      <c r="G1262" s="1">
        <v>13002561133</v>
      </c>
      <c r="H1262" s="1">
        <v>1</v>
      </c>
      <c r="I1262" s="1" t="s">
        <v>1941</v>
      </c>
      <c r="J1262" s="1">
        <v>0.3</v>
      </c>
      <c r="K1262" s="1" t="s">
        <v>619</v>
      </c>
      <c r="L1262" s="1" t="s">
        <v>269</v>
      </c>
      <c r="M1262" s="1" t="s">
        <v>132</v>
      </c>
      <c r="N1262" s="1" t="s">
        <v>72</v>
      </c>
      <c r="O1262" s="1" t="s">
        <v>64</v>
      </c>
      <c r="P1262" s="1" t="s">
        <v>133</v>
      </c>
      <c r="R1262" s="93">
        <v>43191</v>
      </c>
      <c r="S1262" s="93">
        <v>43283</v>
      </c>
    </row>
    <row r="1263" spans="1:19">
      <c r="A1263" s="92">
        <v>43192</v>
      </c>
      <c r="C1263" s="1" t="s">
        <v>56</v>
      </c>
      <c r="E1263" s="98" t="s">
        <v>2871</v>
      </c>
      <c r="F1263" s="1" t="s">
        <v>2872</v>
      </c>
      <c r="G1263" s="1">
        <v>13951834565</v>
      </c>
      <c r="H1263" s="1">
        <v>5</v>
      </c>
      <c r="I1263" s="1" t="s">
        <v>2873</v>
      </c>
      <c r="J1263" s="1">
        <v>0.5</v>
      </c>
      <c r="K1263" s="1" t="s">
        <v>676</v>
      </c>
      <c r="L1263" s="1" t="s">
        <v>150</v>
      </c>
      <c r="M1263" s="1" t="s">
        <v>132</v>
      </c>
      <c r="N1263" s="1" t="s">
        <v>72</v>
      </c>
      <c r="O1263" s="1" t="s">
        <v>64</v>
      </c>
      <c r="P1263" s="1" t="s">
        <v>133</v>
      </c>
      <c r="R1263" s="93">
        <v>43192</v>
      </c>
      <c r="S1263" s="93">
        <v>43223</v>
      </c>
    </row>
    <row r="1264" spans="1:19">
      <c r="A1264" s="92">
        <v>43191</v>
      </c>
      <c r="C1264" s="1" t="s">
        <v>56</v>
      </c>
      <c r="E1264" s="98" t="s">
        <v>800</v>
      </c>
      <c r="F1264" s="1" t="s">
        <v>801</v>
      </c>
      <c r="G1264" s="1">
        <v>13022577091</v>
      </c>
      <c r="H1264" s="1">
        <v>10</v>
      </c>
      <c r="I1264" s="1" t="s">
        <v>1948</v>
      </c>
      <c r="J1264" s="1">
        <v>6</v>
      </c>
      <c r="K1264" s="1" t="s">
        <v>358</v>
      </c>
      <c r="L1264" s="1" t="s">
        <v>117</v>
      </c>
      <c r="M1264" s="1" t="s">
        <v>118</v>
      </c>
      <c r="N1264" s="1" t="s">
        <v>72</v>
      </c>
      <c r="O1264" s="1" t="s">
        <v>64</v>
      </c>
      <c r="P1264" s="1" t="s">
        <v>53</v>
      </c>
      <c r="R1264" s="93">
        <v>43191</v>
      </c>
      <c r="S1264" s="93">
        <v>43373</v>
      </c>
    </row>
    <row r="1265" spans="1:19">
      <c r="A1265" s="92">
        <v>43191</v>
      </c>
      <c r="C1265" s="1" t="s">
        <v>56</v>
      </c>
      <c r="E1265" s="98" t="s">
        <v>1076</v>
      </c>
      <c r="F1265" s="1" t="s">
        <v>563</v>
      </c>
      <c r="G1265" s="1">
        <v>18913323180</v>
      </c>
      <c r="H1265" s="1">
        <v>1</v>
      </c>
      <c r="I1265" s="1" t="s">
        <v>1948</v>
      </c>
      <c r="J1265" s="1">
        <v>0.6</v>
      </c>
      <c r="K1265" s="1" t="s">
        <v>563</v>
      </c>
      <c r="L1265" s="1" t="s">
        <v>281</v>
      </c>
      <c r="M1265" s="1" t="s">
        <v>71</v>
      </c>
      <c r="N1265" s="1" t="s">
        <v>72</v>
      </c>
      <c r="O1265" s="1" t="s">
        <v>64</v>
      </c>
      <c r="P1265" s="1" t="s">
        <v>73</v>
      </c>
      <c r="R1265" s="93">
        <v>43191</v>
      </c>
      <c r="S1265" s="93">
        <v>43373</v>
      </c>
    </row>
    <row r="1266" spans="1:19">
      <c r="A1266" s="92">
        <v>43191</v>
      </c>
      <c r="C1266" s="1" t="s">
        <v>56</v>
      </c>
      <c r="E1266" s="98" t="s">
        <v>1949</v>
      </c>
      <c r="F1266" s="1" t="s">
        <v>1950</v>
      </c>
      <c r="G1266" s="1">
        <v>13951749379</v>
      </c>
      <c r="H1266" s="1">
        <v>0.36</v>
      </c>
      <c r="I1266" s="1" t="s">
        <v>1948</v>
      </c>
      <c r="J1266" s="1">
        <v>0.216</v>
      </c>
      <c r="K1266" s="1" t="s">
        <v>215</v>
      </c>
      <c r="L1266" s="1" t="s">
        <v>216</v>
      </c>
      <c r="M1266" s="1" t="s">
        <v>52</v>
      </c>
      <c r="N1266" s="1" t="s">
        <v>63</v>
      </c>
      <c r="O1266" s="1" t="s">
        <v>64</v>
      </c>
      <c r="P1266" s="1" t="s">
        <v>111</v>
      </c>
      <c r="R1266" s="93">
        <v>43191</v>
      </c>
      <c r="S1266" s="93">
        <v>43373</v>
      </c>
    </row>
    <row r="1267" spans="1:19">
      <c r="A1267" s="92">
        <v>43191</v>
      </c>
      <c r="C1267" s="1" t="s">
        <v>56</v>
      </c>
      <c r="E1267" s="98" t="s">
        <v>1951</v>
      </c>
      <c r="F1267" s="1" t="s">
        <v>1952</v>
      </c>
      <c r="G1267" s="1">
        <v>13951712142</v>
      </c>
      <c r="H1267" s="1">
        <v>6</v>
      </c>
      <c r="I1267" s="1" t="s">
        <v>1948</v>
      </c>
      <c r="J1267" s="1">
        <v>3.6</v>
      </c>
      <c r="K1267" s="1" t="s">
        <v>619</v>
      </c>
      <c r="L1267" s="1" t="s">
        <v>269</v>
      </c>
      <c r="M1267" s="1" t="s">
        <v>132</v>
      </c>
      <c r="N1267" s="1" t="s">
        <v>72</v>
      </c>
      <c r="O1267" s="1" t="s">
        <v>64</v>
      </c>
      <c r="P1267" s="1" t="s">
        <v>133</v>
      </c>
      <c r="R1267" s="93">
        <v>43191</v>
      </c>
      <c r="S1267" s="93">
        <v>43373</v>
      </c>
    </row>
    <row r="1268" spans="1:19">
      <c r="A1268" s="92">
        <v>43191</v>
      </c>
      <c r="C1268" s="1" t="s">
        <v>66</v>
      </c>
      <c r="E1268" s="98" t="s">
        <v>1953</v>
      </c>
      <c r="F1268" s="1" t="s">
        <v>1954</v>
      </c>
      <c r="G1268" s="1">
        <v>13813032547</v>
      </c>
      <c r="H1268" s="1">
        <v>4.2</v>
      </c>
      <c r="I1268" s="1" t="s">
        <v>1948</v>
      </c>
      <c r="J1268" s="1">
        <v>2.52</v>
      </c>
      <c r="K1268" s="1" t="s">
        <v>1149</v>
      </c>
      <c r="L1268" s="1" t="s">
        <v>105</v>
      </c>
      <c r="M1268" s="1" t="s">
        <v>62</v>
      </c>
      <c r="N1268" s="1" t="s">
        <v>63</v>
      </c>
      <c r="O1268" s="1" t="s">
        <v>64</v>
      </c>
      <c r="P1268" s="1" t="s">
        <v>65</v>
      </c>
      <c r="R1268" s="93">
        <v>43191</v>
      </c>
      <c r="S1268" s="93">
        <v>43373</v>
      </c>
    </row>
    <row r="1269" spans="1:19">
      <c r="A1269" s="92">
        <v>43191</v>
      </c>
      <c r="C1269" s="1" t="s">
        <v>66</v>
      </c>
      <c r="E1269" s="98" t="s">
        <v>1953</v>
      </c>
      <c r="F1269" s="1" t="s">
        <v>1954</v>
      </c>
      <c r="G1269" s="1">
        <v>13813032547</v>
      </c>
      <c r="H1269" s="1">
        <v>0.08</v>
      </c>
      <c r="I1269" s="1" t="s">
        <v>1948</v>
      </c>
      <c r="J1269" s="1">
        <v>4.8000000000000001E-2</v>
      </c>
      <c r="K1269" s="1" t="s">
        <v>1149</v>
      </c>
      <c r="L1269" s="1" t="s">
        <v>105</v>
      </c>
      <c r="M1269" s="1" t="s">
        <v>62</v>
      </c>
      <c r="N1269" s="1" t="s">
        <v>63</v>
      </c>
      <c r="O1269" s="1" t="s">
        <v>64</v>
      </c>
      <c r="P1269" s="1" t="s">
        <v>65</v>
      </c>
      <c r="R1269" s="93">
        <v>43191</v>
      </c>
      <c r="S1269" s="93">
        <v>43373</v>
      </c>
    </row>
    <row r="1270" spans="1:19">
      <c r="A1270" s="92">
        <v>43191</v>
      </c>
      <c r="C1270" s="1" t="s">
        <v>56</v>
      </c>
      <c r="E1270" s="98" t="s">
        <v>1955</v>
      </c>
      <c r="F1270" s="1" t="s">
        <v>1956</v>
      </c>
      <c r="G1270" s="1">
        <v>13851717922</v>
      </c>
      <c r="H1270" s="1">
        <v>0.55326000000000009</v>
      </c>
      <c r="I1270" s="1" t="s">
        <v>1957</v>
      </c>
      <c r="J1270" s="1">
        <v>0.55326000000000009</v>
      </c>
      <c r="K1270" s="1" t="s">
        <v>127</v>
      </c>
      <c r="L1270" s="1" t="s">
        <v>110</v>
      </c>
      <c r="M1270" s="1" t="s">
        <v>52</v>
      </c>
      <c r="N1270" s="1" t="s">
        <v>63</v>
      </c>
      <c r="O1270" s="1" t="s">
        <v>64</v>
      </c>
      <c r="P1270" s="1" t="s">
        <v>111</v>
      </c>
      <c r="R1270" s="93">
        <v>43191</v>
      </c>
      <c r="S1270" s="93">
        <v>43553</v>
      </c>
    </row>
    <row r="1271" spans="1:19">
      <c r="A1271" s="92">
        <v>43191</v>
      </c>
      <c r="C1271" s="1" t="s">
        <v>56</v>
      </c>
      <c r="E1271" s="98" t="s">
        <v>1437</v>
      </c>
      <c r="F1271" s="1" t="s">
        <v>1438</v>
      </c>
      <c r="G1271" s="1">
        <v>13912901476</v>
      </c>
      <c r="H1271" s="1">
        <v>1.1065209999999999</v>
      </c>
      <c r="I1271" s="1" t="s">
        <v>1957</v>
      </c>
      <c r="J1271" s="1">
        <v>1.1065209999999999</v>
      </c>
      <c r="K1271" s="1" t="s">
        <v>105</v>
      </c>
      <c r="L1271" s="1" t="s">
        <v>105</v>
      </c>
      <c r="M1271" s="1" t="s">
        <v>62</v>
      </c>
      <c r="N1271" s="1" t="s">
        <v>63</v>
      </c>
      <c r="O1271" s="1" t="s">
        <v>64</v>
      </c>
      <c r="P1271" s="1" t="s">
        <v>65</v>
      </c>
      <c r="R1271" s="93">
        <v>43191</v>
      </c>
      <c r="S1271" s="93">
        <v>43553</v>
      </c>
    </row>
    <row r="1272" spans="1:19">
      <c r="A1272" s="92">
        <v>43191</v>
      </c>
      <c r="C1272" s="1" t="s">
        <v>66</v>
      </c>
      <c r="E1272" s="98" t="s">
        <v>1546</v>
      </c>
      <c r="F1272" s="1" t="s">
        <v>1547</v>
      </c>
      <c r="G1272" s="1">
        <v>13655194811</v>
      </c>
      <c r="H1272" s="1">
        <v>5</v>
      </c>
      <c r="I1272" s="1" t="s">
        <v>1957</v>
      </c>
      <c r="J1272" s="1">
        <v>5</v>
      </c>
      <c r="K1272" s="1" t="s">
        <v>150</v>
      </c>
      <c r="L1272" s="1" t="s">
        <v>150</v>
      </c>
      <c r="M1272" s="1" t="s">
        <v>132</v>
      </c>
      <c r="N1272" s="1" t="s">
        <v>72</v>
      </c>
      <c r="O1272" s="1" t="s">
        <v>64</v>
      </c>
      <c r="P1272" s="1" t="s">
        <v>133</v>
      </c>
      <c r="R1272" s="93">
        <v>43191</v>
      </c>
      <c r="S1272" s="93">
        <v>43553</v>
      </c>
    </row>
    <row r="1273" spans="1:19">
      <c r="A1273" s="92">
        <v>43191</v>
      </c>
      <c r="C1273" s="1" t="s">
        <v>56</v>
      </c>
      <c r="E1273" s="98" t="s">
        <v>1958</v>
      </c>
      <c r="F1273" s="1" t="s">
        <v>1959</v>
      </c>
      <c r="G1273" s="1">
        <v>13813909851</v>
      </c>
      <c r="H1273" s="1">
        <v>5</v>
      </c>
      <c r="I1273" s="1" t="s">
        <v>1957</v>
      </c>
      <c r="J1273" s="1">
        <v>5</v>
      </c>
      <c r="K1273" s="1" t="s">
        <v>365</v>
      </c>
      <c r="L1273" s="1" t="s">
        <v>102</v>
      </c>
      <c r="M1273" s="1" t="s">
        <v>94</v>
      </c>
      <c r="N1273" s="1" t="s">
        <v>72</v>
      </c>
      <c r="O1273" s="1" t="s">
        <v>64</v>
      </c>
      <c r="P1273" s="1" t="s">
        <v>95</v>
      </c>
      <c r="R1273" s="93">
        <v>43191</v>
      </c>
      <c r="S1273" s="93">
        <v>43553</v>
      </c>
    </row>
    <row r="1274" spans="1:19">
      <c r="A1274" s="92">
        <v>43191</v>
      </c>
      <c r="C1274" s="1" t="s">
        <v>66</v>
      </c>
      <c r="E1274" s="98" t="s">
        <v>1074</v>
      </c>
      <c r="F1274" s="1" t="s">
        <v>1075</v>
      </c>
      <c r="G1274" s="1">
        <v>15921442678</v>
      </c>
      <c r="H1274" s="1">
        <v>5</v>
      </c>
      <c r="I1274" s="1" t="s">
        <v>1957</v>
      </c>
      <c r="J1274" s="1">
        <v>5</v>
      </c>
      <c r="K1274" s="1" t="s">
        <v>480</v>
      </c>
      <c r="L1274" s="1" t="s">
        <v>187</v>
      </c>
      <c r="M1274" s="1" t="s">
        <v>78</v>
      </c>
      <c r="N1274" s="1" t="s">
        <v>79</v>
      </c>
      <c r="O1274" s="1" t="s">
        <v>80</v>
      </c>
      <c r="P1274" s="1" t="s">
        <v>81</v>
      </c>
      <c r="R1274" s="93">
        <v>43191</v>
      </c>
      <c r="S1274" s="93">
        <v>43553</v>
      </c>
    </row>
    <row r="1275" spans="1:19">
      <c r="A1275" s="92">
        <v>43191</v>
      </c>
      <c r="C1275" s="1" t="s">
        <v>56</v>
      </c>
      <c r="E1275" s="98" t="s">
        <v>438</v>
      </c>
      <c r="F1275" s="1" t="s">
        <v>439</v>
      </c>
      <c r="G1275" s="1">
        <v>13390797589</v>
      </c>
      <c r="H1275" s="1">
        <v>5</v>
      </c>
      <c r="I1275" s="1" t="s">
        <v>1957</v>
      </c>
      <c r="J1275" s="1">
        <v>5</v>
      </c>
      <c r="K1275" s="1" t="s">
        <v>149</v>
      </c>
      <c r="L1275" s="1" t="s">
        <v>150</v>
      </c>
      <c r="M1275" s="1" t="s">
        <v>132</v>
      </c>
      <c r="N1275" s="1" t="s">
        <v>72</v>
      </c>
      <c r="O1275" s="1" t="s">
        <v>64</v>
      </c>
      <c r="P1275" s="1" t="s">
        <v>133</v>
      </c>
      <c r="R1275" s="93">
        <v>43191</v>
      </c>
      <c r="S1275" s="93">
        <v>43553</v>
      </c>
    </row>
    <row r="1276" spans="1:19">
      <c r="A1276" s="92">
        <v>43191</v>
      </c>
      <c r="C1276" s="1" t="s">
        <v>66</v>
      </c>
      <c r="E1276" s="98" t="s">
        <v>617</v>
      </c>
      <c r="F1276" s="1" t="s">
        <v>618</v>
      </c>
      <c r="G1276" s="1">
        <v>18795802997</v>
      </c>
      <c r="H1276" s="1">
        <v>5</v>
      </c>
      <c r="I1276" s="1" t="s">
        <v>1957</v>
      </c>
      <c r="J1276" s="1">
        <v>5</v>
      </c>
      <c r="K1276" s="1" t="s">
        <v>619</v>
      </c>
      <c r="L1276" s="1" t="s">
        <v>269</v>
      </c>
      <c r="M1276" s="1" t="s">
        <v>132</v>
      </c>
      <c r="N1276" s="1" t="s">
        <v>72</v>
      </c>
      <c r="O1276" s="1" t="s">
        <v>64</v>
      </c>
      <c r="P1276" s="1" t="s">
        <v>133</v>
      </c>
      <c r="R1276" s="93">
        <v>43191</v>
      </c>
      <c r="S1276" s="93">
        <v>43553</v>
      </c>
    </row>
    <row r="1277" spans="1:19">
      <c r="A1277" s="92">
        <v>43191</v>
      </c>
      <c r="C1277" s="1" t="s">
        <v>56</v>
      </c>
      <c r="E1277" s="98" t="s">
        <v>1960</v>
      </c>
      <c r="F1277" s="1" t="s">
        <v>1961</v>
      </c>
      <c r="G1277" s="1">
        <v>13338603203</v>
      </c>
      <c r="H1277" s="1">
        <v>11.17</v>
      </c>
      <c r="I1277" s="1" t="s">
        <v>1957</v>
      </c>
      <c r="J1277" s="1">
        <v>11.17</v>
      </c>
      <c r="K1277" s="1" t="s">
        <v>296</v>
      </c>
      <c r="L1277" s="1" t="s">
        <v>93</v>
      </c>
      <c r="M1277" s="1" t="s">
        <v>94</v>
      </c>
      <c r="N1277" s="1" t="s">
        <v>72</v>
      </c>
      <c r="O1277" s="1" t="s">
        <v>64</v>
      </c>
      <c r="P1277" s="1" t="s">
        <v>95</v>
      </c>
      <c r="R1277" s="93">
        <v>43191</v>
      </c>
      <c r="S1277" s="93">
        <v>43553</v>
      </c>
    </row>
    <row r="1278" spans="1:19">
      <c r="A1278" s="92">
        <v>43191</v>
      </c>
      <c r="C1278" s="1" t="s">
        <v>66</v>
      </c>
      <c r="E1278" s="98" t="s">
        <v>1962</v>
      </c>
      <c r="F1278" s="1" t="s">
        <v>1963</v>
      </c>
      <c r="G1278" s="1">
        <v>15195823539</v>
      </c>
      <c r="H1278" s="1">
        <v>0.01</v>
      </c>
      <c r="I1278" s="1" t="s">
        <v>1957</v>
      </c>
      <c r="J1278" s="1">
        <v>0.01</v>
      </c>
      <c r="K1278" s="1" t="s">
        <v>155</v>
      </c>
      <c r="L1278" s="1" t="s">
        <v>70</v>
      </c>
      <c r="M1278" s="1" t="s">
        <v>71</v>
      </c>
      <c r="N1278" s="1" t="s">
        <v>72</v>
      </c>
      <c r="O1278" s="1" t="s">
        <v>64</v>
      </c>
      <c r="P1278" s="1" t="s">
        <v>73</v>
      </c>
      <c r="R1278" s="93">
        <v>43191</v>
      </c>
      <c r="S1278" s="93">
        <v>43553</v>
      </c>
    </row>
    <row r="1279" spans="1:19">
      <c r="A1279" s="92">
        <v>43191</v>
      </c>
      <c r="C1279" s="1" t="s">
        <v>56</v>
      </c>
      <c r="E1279" s="98" t="s">
        <v>1944</v>
      </c>
      <c r="F1279" s="1" t="s">
        <v>1945</v>
      </c>
      <c r="G1279" s="1">
        <v>13951971256</v>
      </c>
      <c r="H1279" s="1">
        <v>2</v>
      </c>
      <c r="I1279" s="1" t="s">
        <v>1957</v>
      </c>
      <c r="J1279" s="1">
        <v>2</v>
      </c>
      <c r="K1279" s="1" t="s">
        <v>280</v>
      </c>
      <c r="L1279" s="1" t="s">
        <v>281</v>
      </c>
      <c r="M1279" s="1" t="s">
        <v>71</v>
      </c>
      <c r="N1279" s="1" t="s">
        <v>72</v>
      </c>
      <c r="O1279" s="1" t="s">
        <v>64</v>
      </c>
      <c r="P1279" s="1" t="s">
        <v>73</v>
      </c>
      <c r="R1279" s="93">
        <v>43191</v>
      </c>
      <c r="S1279" s="93">
        <v>43553</v>
      </c>
    </row>
    <row r="1280" spans="1:19">
      <c r="A1280" s="92">
        <v>43192</v>
      </c>
      <c r="C1280" s="1" t="s">
        <v>66</v>
      </c>
      <c r="E1280" s="98" t="s">
        <v>1074</v>
      </c>
      <c r="F1280" s="1" t="s">
        <v>1075</v>
      </c>
      <c r="G1280" s="1">
        <v>15921442678</v>
      </c>
      <c r="H1280" s="1">
        <v>5</v>
      </c>
      <c r="I1280" s="1" t="s">
        <v>1957</v>
      </c>
      <c r="J1280" s="1">
        <v>5</v>
      </c>
      <c r="K1280" s="1" t="s">
        <v>480</v>
      </c>
      <c r="L1280" s="1" t="s">
        <v>187</v>
      </c>
      <c r="M1280" s="1" t="s">
        <v>78</v>
      </c>
      <c r="N1280" s="1" t="s">
        <v>79</v>
      </c>
      <c r="O1280" s="1" t="s">
        <v>80</v>
      </c>
      <c r="P1280" s="1" t="s">
        <v>81</v>
      </c>
      <c r="R1280" s="93">
        <v>43192</v>
      </c>
      <c r="S1280" s="93">
        <v>43553</v>
      </c>
    </row>
    <row r="1281" spans="1:19">
      <c r="A1281" s="92">
        <v>43192</v>
      </c>
      <c r="C1281" s="1" t="s">
        <v>56</v>
      </c>
      <c r="E1281" s="98" t="s">
        <v>509</v>
      </c>
      <c r="F1281" s="1" t="s">
        <v>510</v>
      </c>
      <c r="G1281" s="1">
        <v>15850762441</v>
      </c>
      <c r="H1281" s="1">
        <v>1</v>
      </c>
      <c r="I1281" s="1" t="s">
        <v>1957</v>
      </c>
      <c r="J1281" s="1">
        <v>1</v>
      </c>
      <c r="K1281" s="1" t="s">
        <v>127</v>
      </c>
      <c r="L1281" s="1" t="s">
        <v>110</v>
      </c>
      <c r="M1281" s="1" t="s">
        <v>52</v>
      </c>
      <c r="N1281" s="1" t="s">
        <v>63</v>
      </c>
      <c r="O1281" s="1" t="s">
        <v>64</v>
      </c>
      <c r="P1281" s="1" t="s">
        <v>111</v>
      </c>
      <c r="R1281" s="93">
        <v>43192</v>
      </c>
      <c r="S1281" s="93">
        <v>43553</v>
      </c>
    </row>
    <row r="1282" spans="1:19">
      <c r="A1282" s="92">
        <v>43192</v>
      </c>
      <c r="C1282" s="1" t="s">
        <v>56</v>
      </c>
      <c r="E1282" s="98" t="s">
        <v>1575</v>
      </c>
      <c r="F1282" s="1" t="s">
        <v>1576</v>
      </c>
      <c r="G1282" s="1">
        <v>13601432618</v>
      </c>
      <c r="H1282" s="1">
        <v>0.17</v>
      </c>
      <c r="I1282" s="1" t="s">
        <v>2874</v>
      </c>
      <c r="J1282" s="1">
        <v>0.255</v>
      </c>
      <c r="K1282" s="1" t="s">
        <v>136</v>
      </c>
      <c r="L1282" s="1" t="s">
        <v>85</v>
      </c>
      <c r="M1282" s="1" t="s">
        <v>71</v>
      </c>
      <c r="N1282" s="1" t="s">
        <v>72</v>
      </c>
      <c r="O1282" s="1" t="s">
        <v>64</v>
      </c>
      <c r="P1282" s="1" t="s">
        <v>73</v>
      </c>
      <c r="R1282" s="93">
        <v>43192</v>
      </c>
      <c r="S1282" s="93">
        <v>43914</v>
      </c>
    </row>
    <row r="1283" spans="1:19">
      <c r="A1283" s="92">
        <v>43192</v>
      </c>
      <c r="C1283" s="1" t="s">
        <v>56</v>
      </c>
      <c r="E1283" s="98" t="s">
        <v>1575</v>
      </c>
      <c r="F1283" s="1" t="s">
        <v>1576</v>
      </c>
      <c r="G1283" s="1">
        <v>13601432618</v>
      </c>
      <c r="H1283" s="1">
        <v>1</v>
      </c>
      <c r="I1283" s="1" t="s">
        <v>2874</v>
      </c>
      <c r="J1283" s="1">
        <v>1.5</v>
      </c>
      <c r="K1283" s="1" t="s">
        <v>136</v>
      </c>
      <c r="L1283" s="1" t="s">
        <v>85</v>
      </c>
      <c r="M1283" s="1" t="s">
        <v>71</v>
      </c>
      <c r="N1283" s="1" t="s">
        <v>72</v>
      </c>
      <c r="O1283" s="1" t="s">
        <v>64</v>
      </c>
      <c r="P1283" s="1" t="s">
        <v>73</v>
      </c>
      <c r="R1283" s="93">
        <v>43192</v>
      </c>
      <c r="S1283" s="93">
        <v>43914</v>
      </c>
    </row>
    <row r="1284" spans="1:19">
      <c r="A1284" s="92">
        <v>43192</v>
      </c>
      <c r="C1284" s="1" t="s">
        <v>56</v>
      </c>
      <c r="E1284" s="98" t="s">
        <v>2875</v>
      </c>
      <c r="F1284" s="1" t="s">
        <v>2876</v>
      </c>
      <c r="G1284" s="1">
        <v>13182912311</v>
      </c>
      <c r="H1284" s="1">
        <v>1.32</v>
      </c>
      <c r="I1284" s="1" t="s">
        <v>2874</v>
      </c>
      <c r="J1284" s="1">
        <v>1.98</v>
      </c>
      <c r="K1284" s="1" t="s">
        <v>70</v>
      </c>
      <c r="L1284" s="1" t="s">
        <v>70</v>
      </c>
      <c r="M1284" s="1" t="s">
        <v>71</v>
      </c>
      <c r="N1284" s="1" t="s">
        <v>72</v>
      </c>
      <c r="O1284" s="1" t="s">
        <v>64</v>
      </c>
      <c r="P1284" s="1" t="s">
        <v>73</v>
      </c>
      <c r="R1284" s="93">
        <v>43192</v>
      </c>
      <c r="S1284" s="93">
        <v>43914</v>
      </c>
    </row>
    <row r="1285" spans="1:19">
      <c r="A1285" s="92">
        <v>43192</v>
      </c>
      <c r="C1285" s="1" t="s">
        <v>56</v>
      </c>
      <c r="E1285" s="98" t="s">
        <v>303</v>
      </c>
      <c r="F1285" s="1" t="s">
        <v>206</v>
      </c>
      <c r="G1285" s="1">
        <v>13182911411</v>
      </c>
      <c r="H1285" s="1">
        <v>2.2000000000000002</v>
      </c>
      <c r="I1285" s="1" t="s">
        <v>2877</v>
      </c>
      <c r="J1285" s="1">
        <v>2.2000000000000002</v>
      </c>
      <c r="K1285" s="1" t="s">
        <v>206</v>
      </c>
      <c r="L1285" s="1" t="s">
        <v>70</v>
      </c>
      <c r="M1285" s="1" t="s">
        <v>71</v>
      </c>
      <c r="N1285" s="1" t="s">
        <v>72</v>
      </c>
      <c r="O1285" s="1" t="s">
        <v>64</v>
      </c>
      <c r="P1285" s="1" t="s">
        <v>73</v>
      </c>
      <c r="R1285" s="93">
        <v>43192</v>
      </c>
      <c r="S1285" s="93">
        <v>43554</v>
      </c>
    </row>
    <row r="1286" spans="1:19">
      <c r="A1286" s="92">
        <v>43192</v>
      </c>
      <c r="C1286" s="1" t="s">
        <v>56</v>
      </c>
      <c r="E1286" s="98" t="s">
        <v>2878</v>
      </c>
      <c r="F1286" s="1" t="s">
        <v>2879</v>
      </c>
      <c r="G1286" s="1">
        <v>13585194368</v>
      </c>
      <c r="H1286" s="1">
        <v>6</v>
      </c>
      <c r="I1286" s="1" t="s">
        <v>2877</v>
      </c>
      <c r="J1286" s="1">
        <v>6</v>
      </c>
      <c r="K1286" s="1" t="s">
        <v>437</v>
      </c>
      <c r="L1286" s="1" t="s">
        <v>105</v>
      </c>
      <c r="M1286" s="1" t="s">
        <v>62</v>
      </c>
      <c r="N1286" s="1" t="s">
        <v>63</v>
      </c>
      <c r="O1286" s="1" t="s">
        <v>64</v>
      </c>
      <c r="P1286" s="1" t="s">
        <v>65</v>
      </c>
      <c r="R1286" s="93">
        <v>43192</v>
      </c>
      <c r="S1286" s="93">
        <v>43554</v>
      </c>
    </row>
    <row r="1287" spans="1:19">
      <c r="A1287" s="92">
        <v>43192</v>
      </c>
      <c r="C1287" s="1" t="s">
        <v>56</v>
      </c>
      <c r="E1287" s="98" t="s">
        <v>2880</v>
      </c>
      <c r="F1287" s="1" t="s">
        <v>2881</v>
      </c>
      <c r="G1287" s="1">
        <v>13851653728</v>
      </c>
      <c r="H1287" s="1">
        <v>27</v>
      </c>
      <c r="I1287" s="1" t="s">
        <v>2877</v>
      </c>
      <c r="J1287" s="1">
        <v>27</v>
      </c>
      <c r="K1287" s="1" t="s">
        <v>268</v>
      </c>
      <c r="L1287" s="1" t="s">
        <v>269</v>
      </c>
      <c r="M1287" s="1" t="s">
        <v>132</v>
      </c>
      <c r="N1287" s="1" t="s">
        <v>72</v>
      </c>
      <c r="O1287" s="1" t="s">
        <v>64</v>
      </c>
      <c r="P1287" s="1" t="s">
        <v>133</v>
      </c>
      <c r="R1287" s="93">
        <v>43192</v>
      </c>
      <c r="S1287" s="93">
        <v>43554</v>
      </c>
    </row>
    <row r="1288" spans="1:19">
      <c r="A1288" s="92">
        <v>43192</v>
      </c>
      <c r="C1288" s="1" t="s">
        <v>56</v>
      </c>
      <c r="E1288" s="98" t="s">
        <v>1910</v>
      </c>
      <c r="F1288" s="1" t="s">
        <v>1911</v>
      </c>
      <c r="G1288" s="1">
        <v>13512516703</v>
      </c>
      <c r="H1288" s="1">
        <v>5</v>
      </c>
      <c r="I1288" s="1" t="s">
        <v>2877</v>
      </c>
      <c r="J1288" s="1">
        <v>5</v>
      </c>
      <c r="K1288" s="1" t="s">
        <v>277</v>
      </c>
      <c r="L1288" s="1" t="s">
        <v>269</v>
      </c>
      <c r="M1288" s="1" t="s">
        <v>132</v>
      </c>
      <c r="N1288" s="1" t="s">
        <v>72</v>
      </c>
      <c r="O1288" s="1" t="s">
        <v>64</v>
      </c>
      <c r="P1288" s="1" t="s">
        <v>133</v>
      </c>
      <c r="R1288" s="93">
        <v>43192</v>
      </c>
      <c r="S1288" s="93">
        <v>43554</v>
      </c>
    </row>
    <row r="1289" spans="1:19">
      <c r="A1289" s="92">
        <v>43192</v>
      </c>
      <c r="C1289" s="1" t="s">
        <v>56</v>
      </c>
      <c r="E1289" s="98" t="s">
        <v>2882</v>
      </c>
      <c r="F1289" s="1" t="s">
        <v>2883</v>
      </c>
      <c r="G1289" s="1">
        <v>13611564685</v>
      </c>
      <c r="H1289" s="1">
        <v>3.39</v>
      </c>
      <c r="I1289" s="1" t="s">
        <v>2877</v>
      </c>
      <c r="J1289" s="1">
        <v>3.39</v>
      </c>
      <c r="K1289" s="1" t="s">
        <v>172</v>
      </c>
      <c r="L1289" s="1" t="s">
        <v>131</v>
      </c>
      <c r="M1289" s="1" t="s">
        <v>132</v>
      </c>
      <c r="N1289" s="1" t="s">
        <v>72</v>
      </c>
      <c r="O1289" s="1" t="s">
        <v>64</v>
      </c>
      <c r="P1289" s="1" t="s">
        <v>133</v>
      </c>
      <c r="R1289" s="93">
        <v>43192</v>
      </c>
      <c r="S1289" s="93">
        <v>43554</v>
      </c>
    </row>
    <row r="1290" spans="1:19">
      <c r="A1290" s="92">
        <v>43192</v>
      </c>
      <c r="C1290" s="1" t="s">
        <v>56</v>
      </c>
      <c r="E1290" s="98" t="s">
        <v>1255</v>
      </c>
      <c r="F1290" s="1" t="s">
        <v>353</v>
      </c>
      <c r="G1290" s="1">
        <v>13151531351</v>
      </c>
      <c r="H1290" s="1">
        <v>5.65</v>
      </c>
      <c r="I1290" s="1" t="s">
        <v>2877</v>
      </c>
      <c r="J1290" s="1">
        <v>5.65</v>
      </c>
      <c r="K1290" s="1" t="s">
        <v>353</v>
      </c>
      <c r="L1290" s="1" t="s">
        <v>281</v>
      </c>
      <c r="M1290" s="1" t="s">
        <v>71</v>
      </c>
      <c r="N1290" s="1" t="s">
        <v>72</v>
      </c>
      <c r="O1290" s="1" t="s">
        <v>64</v>
      </c>
      <c r="P1290" s="1" t="s">
        <v>73</v>
      </c>
      <c r="R1290" s="93">
        <v>43192</v>
      </c>
      <c r="S1290" s="93">
        <v>43554</v>
      </c>
    </row>
    <row r="1291" spans="1:19">
      <c r="A1291" s="92">
        <v>43192</v>
      </c>
      <c r="C1291" s="1" t="s">
        <v>56</v>
      </c>
      <c r="E1291" s="98" t="s">
        <v>2884</v>
      </c>
      <c r="F1291" s="1" t="s">
        <v>2885</v>
      </c>
      <c r="G1291" s="1">
        <v>13401990710</v>
      </c>
      <c r="H1291" s="1">
        <v>3.0013970000000003</v>
      </c>
      <c r="I1291" s="1" t="s">
        <v>2877</v>
      </c>
      <c r="J1291" s="1">
        <v>3.0013970000000003</v>
      </c>
      <c r="K1291" s="1" t="s">
        <v>403</v>
      </c>
      <c r="L1291" s="1" t="s">
        <v>216</v>
      </c>
      <c r="M1291" s="1" t="s">
        <v>52</v>
      </c>
      <c r="N1291" s="1" t="s">
        <v>63</v>
      </c>
      <c r="O1291" s="1" t="s">
        <v>64</v>
      </c>
      <c r="P1291" s="1" t="s">
        <v>111</v>
      </c>
      <c r="R1291" s="93">
        <v>43192</v>
      </c>
      <c r="S1291" s="93">
        <v>43554</v>
      </c>
    </row>
    <row r="1292" spans="1:19">
      <c r="A1292" s="92">
        <v>43192</v>
      </c>
      <c r="C1292" s="1" t="s">
        <v>56</v>
      </c>
      <c r="E1292" s="98" t="s">
        <v>1268</v>
      </c>
      <c r="F1292" s="1" t="s">
        <v>1269</v>
      </c>
      <c r="G1292" s="1">
        <v>15366014217</v>
      </c>
      <c r="H1292" s="1">
        <v>11.3</v>
      </c>
      <c r="I1292" s="1" t="s">
        <v>2877</v>
      </c>
      <c r="J1292" s="1">
        <v>11.3</v>
      </c>
      <c r="K1292" s="1" t="s">
        <v>403</v>
      </c>
      <c r="L1292" s="1" t="s">
        <v>216</v>
      </c>
      <c r="M1292" s="1" t="s">
        <v>52</v>
      </c>
      <c r="N1292" s="1" t="s">
        <v>63</v>
      </c>
      <c r="O1292" s="1" t="s">
        <v>64</v>
      </c>
      <c r="P1292" s="1" t="s">
        <v>111</v>
      </c>
      <c r="R1292" s="93">
        <v>43192</v>
      </c>
      <c r="S1292" s="93">
        <v>43554</v>
      </c>
    </row>
    <row r="1293" spans="1:19">
      <c r="A1293" s="92">
        <v>43192</v>
      </c>
      <c r="C1293" s="1" t="s">
        <v>56</v>
      </c>
      <c r="E1293" s="98" t="s">
        <v>2886</v>
      </c>
      <c r="F1293" s="1" t="s">
        <v>216</v>
      </c>
      <c r="G1293" s="1">
        <v>13951858302</v>
      </c>
      <c r="H1293" s="1">
        <v>10.004657</v>
      </c>
      <c r="I1293" s="1" t="s">
        <v>2877</v>
      </c>
      <c r="J1293" s="1">
        <v>10.004657</v>
      </c>
      <c r="K1293" s="1" t="s">
        <v>149</v>
      </c>
      <c r="L1293" s="1" t="s">
        <v>150</v>
      </c>
      <c r="M1293" s="1" t="s">
        <v>132</v>
      </c>
      <c r="N1293" s="1" t="s">
        <v>72</v>
      </c>
      <c r="O1293" s="1" t="s">
        <v>64</v>
      </c>
      <c r="P1293" s="1" t="s">
        <v>133</v>
      </c>
      <c r="R1293" s="93">
        <v>43192</v>
      </c>
      <c r="S1293" s="93">
        <v>43554</v>
      </c>
    </row>
    <row r="1294" spans="1:19">
      <c r="A1294" s="92">
        <v>43192</v>
      </c>
      <c r="C1294" s="1" t="s">
        <v>56</v>
      </c>
      <c r="E1294" s="98" t="s">
        <v>283</v>
      </c>
      <c r="F1294" s="1" t="s">
        <v>284</v>
      </c>
      <c r="G1294" s="1">
        <v>13382020539</v>
      </c>
      <c r="H1294" s="1">
        <v>10.004657</v>
      </c>
      <c r="I1294" s="1" t="s">
        <v>2877</v>
      </c>
      <c r="J1294" s="1">
        <v>10.004657</v>
      </c>
      <c r="K1294" s="1" t="s">
        <v>149</v>
      </c>
      <c r="L1294" s="1" t="s">
        <v>150</v>
      </c>
      <c r="M1294" s="1" t="s">
        <v>132</v>
      </c>
      <c r="N1294" s="1" t="s">
        <v>72</v>
      </c>
      <c r="O1294" s="1" t="s">
        <v>64</v>
      </c>
      <c r="P1294" s="1" t="s">
        <v>133</v>
      </c>
      <c r="R1294" s="93">
        <v>43192</v>
      </c>
      <c r="S1294" s="93">
        <v>43554</v>
      </c>
    </row>
    <row r="1295" spans="1:19">
      <c r="A1295" s="92">
        <v>43192</v>
      </c>
      <c r="C1295" s="1" t="s">
        <v>56</v>
      </c>
      <c r="E1295" s="98" t="s">
        <v>1284</v>
      </c>
      <c r="F1295" s="1" t="s">
        <v>596</v>
      </c>
      <c r="G1295" s="1">
        <v>18049857797</v>
      </c>
      <c r="H1295" s="1">
        <v>5</v>
      </c>
      <c r="I1295" s="1" t="s">
        <v>2877</v>
      </c>
      <c r="J1295" s="1">
        <v>5</v>
      </c>
      <c r="K1295" s="1" t="s">
        <v>596</v>
      </c>
      <c r="L1295" s="1" t="s">
        <v>77</v>
      </c>
      <c r="M1295" s="1" t="s">
        <v>78</v>
      </c>
      <c r="N1295" s="1" t="s">
        <v>79</v>
      </c>
      <c r="O1295" s="1" t="s">
        <v>80</v>
      </c>
      <c r="P1295" s="1" t="s">
        <v>81</v>
      </c>
      <c r="R1295" s="93">
        <v>43192</v>
      </c>
      <c r="S1295" s="93">
        <v>43554</v>
      </c>
    </row>
    <row r="1296" spans="1:19">
      <c r="A1296" s="92">
        <v>43192</v>
      </c>
      <c r="C1296" s="1" t="s">
        <v>66</v>
      </c>
      <c r="E1296" s="98" t="s">
        <v>714</v>
      </c>
      <c r="F1296" s="1" t="s">
        <v>715</v>
      </c>
      <c r="G1296" s="1">
        <v>15295751963</v>
      </c>
      <c r="H1296" s="1">
        <v>0.3</v>
      </c>
      <c r="I1296" s="1" t="s">
        <v>2877</v>
      </c>
      <c r="J1296" s="1">
        <v>0.3</v>
      </c>
      <c r="K1296" s="1" t="s">
        <v>716</v>
      </c>
      <c r="L1296" s="1" t="s">
        <v>105</v>
      </c>
      <c r="M1296" s="1" t="s">
        <v>62</v>
      </c>
      <c r="N1296" s="1" t="s">
        <v>63</v>
      </c>
      <c r="O1296" s="1" t="s">
        <v>64</v>
      </c>
      <c r="P1296" s="1" t="s">
        <v>65</v>
      </c>
      <c r="R1296" s="93">
        <v>43192</v>
      </c>
      <c r="S1296" s="93">
        <v>43554</v>
      </c>
    </row>
    <row r="1297" spans="1:19">
      <c r="A1297" s="92">
        <v>43192</v>
      </c>
      <c r="C1297" s="1" t="s">
        <v>56</v>
      </c>
      <c r="E1297" s="98" t="s">
        <v>2887</v>
      </c>
      <c r="F1297" s="1" t="s">
        <v>268</v>
      </c>
      <c r="G1297" s="1">
        <v>18751816651</v>
      </c>
      <c r="H1297" s="1">
        <v>25</v>
      </c>
      <c r="I1297" s="1" t="s">
        <v>2888</v>
      </c>
      <c r="J1297" s="1">
        <v>2.5</v>
      </c>
      <c r="K1297" s="1" t="s">
        <v>268</v>
      </c>
      <c r="L1297" s="1" t="s">
        <v>269</v>
      </c>
      <c r="M1297" s="1" t="s">
        <v>132</v>
      </c>
      <c r="N1297" s="1" t="s">
        <v>72</v>
      </c>
      <c r="O1297" s="1" t="s">
        <v>64</v>
      </c>
      <c r="P1297" s="1" t="s">
        <v>133</v>
      </c>
      <c r="R1297" s="93">
        <v>43192</v>
      </c>
      <c r="S1297" s="93">
        <v>43224</v>
      </c>
    </row>
    <row r="1298" spans="1:19">
      <c r="A1298" s="92">
        <v>43192</v>
      </c>
      <c r="C1298" s="1" t="s">
        <v>56</v>
      </c>
      <c r="E1298" s="98" t="s">
        <v>2889</v>
      </c>
      <c r="F1298" s="1" t="s">
        <v>2890</v>
      </c>
      <c r="G1298" s="1">
        <v>13770775966</v>
      </c>
      <c r="H1298" s="1">
        <v>1</v>
      </c>
      <c r="I1298" s="1" t="s">
        <v>2888</v>
      </c>
      <c r="J1298" s="1">
        <v>0.1</v>
      </c>
      <c r="K1298" s="1" t="s">
        <v>280</v>
      </c>
      <c r="L1298" s="1" t="s">
        <v>281</v>
      </c>
      <c r="M1298" s="1" t="s">
        <v>71</v>
      </c>
      <c r="N1298" s="1" t="s">
        <v>72</v>
      </c>
      <c r="O1298" s="1" t="s">
        <v>64</v>
      </c>
      <c r="P1298" s="1" t="s">
        <v>73</v>
      </c>
      <c r="R1298" s="93">
        <v>43192</v>
      </c>
      <c r="S1298" s="93">
        <v>43224</v>
      </c>
    </row>
    <row r="1299" spans="1:19">
      <c r="A1299" s="92">
        <v>43192</v>
      </c>
      <c r="C1299" s="1" t="s">
        <v>56</v>
      </c>
      <c r="E1299" s="98" t="s">
        <v>2891</v>
      </c>
      <c r="F1299" s="1" t="s">
        <v>2892</v>
      </c>
      <c r="G1299" s="1">
        <v>18761891705</v>
      </c>
      <c r="H1299" s="1">
        <v>5</v>
      </c>
      <c r="I1299" s="1" t="s">
        <v>2888</v>
      </c>
      <c r="J1299" s="1">
        <v>0.5</v>
      </c>
      <c r="K1299" s="1" t="s">
        <v>274</v>
      </c>
      <c r="L1299" s="1" t="s">
        <v>216</v>
      </c>
      <c r="M1299" s="1" t="s">
        <v>52</v>
      </c>
      <c r="N1299" s="1" t="s">
        <v>63</v>
      </c>
      <c r="O1299" s="1" t="s">
        <v>64</v>
      </c>
      <c r="P1299" s="1" t="s">
        <v>111</v>
      </c>
      <c r="R1299" s="93">
        <v>43192</v>
      </c>
      <c r="S1299" s="93">
        <v>43224</v>
      </c>
    </row>
    <row r="1300" spans="1:19">
      <c r="A1300" s="92">
        <v>43192</v>
      </c>
      <c r="C1300" s="1" t="s">
        <v>56</v>
      </c>
      <c r="E1300" s="98" t="s">
        <v>96</v>
      </c>
      <c r="F1300" s="1" t="s">
        <v>97</v>
      </c>
      <c r="G1300" s="1">
        <v>13675177775</v>
      </c>
      <c r="H1300" s="1">
        <v>0.1</v>
      </c>
      <c r="I1300" s="1" t="s">
        <v>2888</v>
      </c>
      <c r="J1300" s="1">
        <v>0.01</v>
      </c>
      <c r="K1300" s="1" t="s">
        <v>97</v>
      </c>
      <c r="L1300" s="1" t="s">
        <v>93</v>
      </c>
      <c r="M1300" s="1" t="s">
        <v>94</v>
      </c>
      <c r="N1300" s="1" t="s">
        <v>72</v>
      </c>
      <c r="O1300" s="1" t="s">
        <v>64</v>
      </c>
      <c r="P1300" s="1" t="s">
        <v>95</v>
      </c>
      <c r="R1300" s="93">
        <v>43192</v>
      </c>
      <c r="S1300" s="93">
        <v>43224</v>
      </c>
    </row>
    <row r="1301" spans="1:19">
      <c r="A1301" s="92">
        <v>43192</v>
      </c>
      <c r="C1301" s="1" t="s">
        <v>56</v>
      </c>
      <c r="E1301" s="98" t="s">
        <v>2893</v>
      </c>
      <c r="F1301" s="1" t="s">
        <v>2894</v>
      </c>
      <c r="G1301" s="1">
        <v>13915908890</v>
      </c>
      <c r="H1301" s="1">
        <v>1.1000000000000001</v>
      </c>
      <c r="I1301" s="1" t="s">
        <v>2895</v>
      </c>
      <c r="J1301" s="1">
        <v>0.33</v>
      </c>
      <c r="K1301" s="1" t="s">
        <v>175</v>
      </c>
      <c r="L1301" s="1" t="s">
        <v>131</v>
      </c>
      <c r="M1301" s="1" t="s">
        <v>132</v>
      </c>
      <c r="N1301" s="1" t="s">
        <v>72</v>
      </c>
      <c r="O1301" s="1" t="s">
        <v>64</v>
      </c>
      <c r="P1301" s="1" t="s">
        <v>133</v>
      </c>
      <c r="R1301" s="93">
        <v>43192</v>
      </c>
      <c r="S1301" s="93">
        <v>43284</v>
      </c>
    </row>
    <row r="1302" spans="1:19">
      <c r="A1302" s="92">
        <v>43192</v>
      </c>
      <c r="C1302" s="1" t="s">
        <v>56</v>
      </c>
      <c r="E1302" s="98" t="s">
        <v>750</v>
      </c>
      <c r="F1302" s="1" t="s">
        <v>751</v>
      </c>
      <c r="G1302" s="1">
        <v>13951837206</v>
      </c>
      <c r="H1302" s="1">
        <v>5</v>
      </c>
      <c r="I1302" s="1" t="s">
        <v>2895</v>
      </c>
      <c r="J1302" s="1">
        <v>1.5</v>
      </c>
      <c r="K1302" s="1" t="s">
        <v>312</v>
      </c>
      <c r="L1302" s="1" t="s">
        <v>117</v>
      </c>
      <c r="M1302" s="1" t="s">
        <v>118</v>
      </c>
      <c r="N1302" s="1" t="s">
        <v>72</v>
      </c>
      <c r="O1302" s="1" t="s">
        <v>64</v>
      </c>
      <c r="P1302" s="1" t="s">
        <v>53</v>
      </c>
      <c r="R1302" s="93">
        <v>43192</v>
      </c>
      <c r="S1302" s="93">
        <v>43284</v>
      </c>
    </row>
    <row r="1303" spans="1:19">
      <c r="A1303" s="92">
        <v>43192</v>
      </c>
      <c r="C1303" s="1" t="s">
        <v>56</v>
      </c>
      <c r="E1303" s="98" t="s">
        <v>2896</v>
      </c>
      <c r="F1303" s="1" t="s">
        <v>2897</v>
      </c>
      <c r="G1303" s="1">
        <v>13813909187</v>
      </c>
      <c r="H1303" s="1">
        <v>4</v>
      </c>
      <c r="I1303" s="1" t="s">
        <v>2895</v>
      </c>
      <c r="J1303" s="1">
        <v>1.2</v>
      </c>
      <c r="K1303" s="1" t="s">
        <v>1616</v>
      </c>
      <c r="L1303" s="1" t="s">
        <v>253</v>
      </c>
      <c r="M1303" s="1" t="s">
        <v>94</v>
      </c>
      <c r="N1303" s="1" t="s">
        <v>72</v>
      </c>
      <c r="O1303" s="1" t="s">
        <v>64</v>
      </c>
      <c r="P1303" s="1" t="s">
        <v>95</v>
      </c>
      <c r="R1303" s="93">
        <v>43192</v>
      </c>
      <c r="S1303" s="93">
        <v>43284</v>
      </c>
    </row>
    <row r="1304" spans="1:19">
      <c r="A1304" s="92">
        <v>43192</v>
      </c>
      <c r="C1304" s="1" t="s">
        <v>56</v>
      </c>
      <c r="E1304" s="98" t="s">
        <v>815</v>
      </c>
      <c r="F1304" s="1" t="s">
        <v>816</v>
      </c>
      <c r="G1304" s="1">
        <v>18795972705</v>
      </c>
      <c r="H1304" s="1">
        <v>0.4</v>
      </c>
      <c r="I1304" s="1" t="s">
        <v>2895</v>
      </c>
      <c r="J1304" s="1">
        <v>0.12</v>
      </c>
      <c r="K1304" s="1" t="s">
        <v>114</v>
      </c>
      <c r="L1304" s="1" t="s">
        <v>85</v>
      </c>
      <c r="M1304" s="1" t="s">
        <v>71</v>
      </c>
      <c r="N1304" s="1" t="s">
        <v>72</v>
      </c>
      <c r="O1304" s="1" t="s">
        <v>64</v>
      </c>
      <c r="P1304" s="1" t="s">
        <v>73</v>
      </c>
      <c r="R1304" s="93">
        <v>43192</v>
      </c>
      <c r="S1304" s="93">
        <v>43284</v>
      </c>
    </row>
    <row r="1305" spans="1:19" ht="12.6" customHeight="1">
      <c r="A1305" s="92">
        <v>43192</v>
      </c>
      <c r="C1305" s="1" t="s">
        <v>56</v>
      </c>
      <c r="E1305" s="98" t="s">
        <v>2898</v>
      </c>
      <c r="F1305" s="1" t="s">
        <v>2899</v>
      </c>
      <c r="G1305" s="1">
        <v>15951645316</v>
      </c>
      <c r="H1305" s="1">
        <v>5</v>
      </c>
      <c r="I1305" s="1" t="s">
        <v>2895</v>
      </c>
      <c r="J1305" s="1">
        <v>1.5</v>
      </c>
      <c r="K1305" s="1" t="s">
        <v>551</v>
      </c>
      <c r="L1305" s="1" t="s">
        <v>105</v>
      </c>
      <c r="M1305" s="1" t="s">
        <v>62</v>
      </c>
      <c r="N1305" s="1" t="s">
        <v>63</v>
      </c>
      <c r="O1305" s="1" t="s">
        <v>64</v>
      </c>
      <c r="P1305" s="1" t="s">
        <v>65</v>
      </c>
      <c r="R1305" s="93">
        <v>43192</v>
      </c>
      <c r="S1305" s="93">
        <v>43284</v>
      </c>
    </row>
    <row r="1306" spans="1:19">
      <c r="A1306" s="92">
        <v>43192</v>
      </c>
      <c r="C1306" s="1" t="s">
        <v>66</v>
      </c>
      <c r="E1306" s="98" t="s">
        <v>2900</v>
      </c>
      <c r="F1306" s="1" t="s">
        <v>2901</v>
      </c>
      <c r="G1306" s="1">
        <v>13851556410</v>
      </c>
      <c r="H1306" s="1">
        <v>0.6</v>
      </c>
      <c r="I1306" s="1" t="s">
        <v>2895</v>
      </c>
      <c r="J1306" s="1">
        <v>0.18</v>
      </c>
      <c r="K1306" s="1" t="s">
        <v>563</v>
      </c>
      <c r="L1306" s="1" t="s">
        <v>281</v>
      </c>
      <c r="M1306" s="1" t="s">
        <v>71</v>
      </c>
      <c r="N1306" s="1" t="s">
        <v>72</v>
      </c>
      <c r="O1306" s="1" t="s">
        <v>64</v>
      </c>
      <c r="P1306" s="1" t="s">
        <v>73</v>
      </c>
      <c r="R1306" s="93">
        <v>43192</v>
      </c>
      <c r="S1306" s="93">
        <v>43284</v>
      </c>
    </row>
    <row r="1307" spans="1:19">
      <c r="A1307" s="92">
        <v>43125</v>
      </c>
      <c r="C1307" s="1" t="s">
        <v>56</v>
      </c>
      <c r="E1307" s="98" t="s">
        <v>354</v>
      </c>
      <c r="F1307" s="1" t="s">
        <v>2904</v>
      </c>
      <c r="G1307" s="1">
        <v>13818150460</v>
      </c>
      <c r="H1307" s="1">
        <v>1.95</v>
      </c>
      <c r="I1307" s="1" t="s">
        <v>2905</v>
      </c>
      <c r="J1307" s="1">
        <v>1.17</v>
      </c>
      <c r="K1307" s="1" t="s">
        <v>356</v>
      </c>
      <c r="L1307" s="1" t="s">
        <v>187</v>
      </c>
      <c r="M1307" s="1" t="s">
        <v>78</v>
      </c>
      <c r="N1307" s="1" t="s">
        <v>79</v>
      </c>
      <c r="O1307" s="1" t="s">
        <v>80</v>
      </c>
      <c r="P1307" s="1" t="s">
        <v>81</v>
      </c>
      <c r="R1307" s="93">
        <v>43125</v>
      </c>
      <c r="S1307" s="93">
        <v>43306</v>
      </c>
    </row>
    <row r="1308" spans="1:19">
      <c r="A1308" s="92">
        <v>43125</v>
      </c>
      <c r="C1308" s="1" t="s">
        <v>56</v>
      </c>
      <c r="E1308" s="98" t="s">
        <v>2906</v>
      </c>
      <c r="F1308" s="1" t="s">
        <v>2904</v>
      </c>
      <c r="G1308" s="1">
        <v>15951027659</v>
      </c>
      <c r="H1308" s="1">
        <v>0.16</v>
      </c>
      <c r="I1308" s="1" t="s">
        <v>2905</v>
      </c>
      <c r="J1308" s="1">
        <v>9.6000000000000002E-2</v>
      </c>
      <c r="K1308" s="1" t="s">
        <v>167</v>
      </c>
      <c r="L1308" s="1" t="s">
        <v>117</v>
      </c>
      <c r="M1308" s="1" t="s">
        <v>118</v>
      </c>
      <c r="N1308" s="1" t="s">
        <v>72</v>
      </c>
      <c r="O1308" s="1" t="s">
        <v>64</v>
      </c>
      <c r="P1308" s="1" t="s">
        <v>53</v>
      </c>
      <c r="R1308" s="93">
        <v>43125</v>
      </c>
      <c r="S1308" s="93">
        <v>43306</v>
      </c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上午日报</vt:lpstr>
      <vt:lpstr>日报数据1</vt:lpstr>
      <vt:lpstr>日报数据2</vt:lpstr>
      <vt:lpstr>日报明细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Lee Allen</cp:lastModifiedBy>
  <dcterms:created xsi:type="dcterms:W3CDTF">2006-09-16T00:00:00Z</dcterms:created>
  <dcterms:modified xsi:type="dcterms:W3CDTF">2018-04-08T03:59:44Z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2052-10.1.0.6554</vt:lpwstr>
  </property>
  <property fmtid="{D5CDD505-2E9C-101B-9397-08002B2CF9AE}" pid="3" name="WorkbookGuid">
    <vt:lpwstr>d1181d4e-0328-407f-bb64-fc8959535f78</vt:lpwstr>
  </property>
</Properties>
</file>